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/>
  <mc:AlternateContent xmlns:mc="http://schemas.openxmlformats.org/markup-compatibility/2006">
    <mc:Choice Requires="x15">
      <x15ac:absPath xmlns:x15ac="http://schemas.microsoft.com/office/spreadsheetml/2010/11/ac" url="/Users/yasser/Downloads/"/>
    </mc:Choice>
  </mc:AlternateContent>
  <xr:revisionPtr revIDLastSave="0" documentId="13_ncr:1_{6A1AA86B-53B6-1347-AE46-F73054EBF4FD}" xr6:coauthVersionLast="47" xr6:coauthVersionMax="47" xr10:uidLastSave="{00000000-0000-0000-0000-000000000000}"/>
  <bookViews>
    <workbookView xWindow="0" yWindow="780" windowWidth="34200" windowHeight="21460" xr2:uid="{B9EF0CF8-0430-4F5E-8A36-DC7CA355BFBA}"/>
  </bookViews>
  <sheets>
    <sheet name="Mr He RKEF" sheetId="1" r:id="rId1"/>
    <sheet name="HPAL" sheetId="6" r:id="rId2"/>
    <sheet name="Mr Song" sheetId="7" r:id="rId3"/>
    <sheet name="Mr Yang" sheetId="8" r:id="rId4"/>
    <sheet name="Mr He HPAL" sheetId="9" r:id="rId5"/>
  </sheets>
  <definedNames>
    <definedName name="_xlnm._FilterDatabase" localSheetId="1" hidden="1">HPAL!$AP$3:$AP$240</definedName>
    <definedName name="_xlnm._FilterDatabase" localSheetId="0" hidden="1">'Mr He RKEF'!$AP$3:$AP$243</definedName>
    <definedName name="_xlnm._FilterDatabase" localSheetId="2" hidden="1">'Mr Song'!$AP$3:$AP$240</definedName>
    <definedName name="_xlnm._FilterDatabase" localSheetId="3" hidden="1">'Mr Yang'!$AP$3:$AP$240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17" i="9" l="1"/>
  <c r="AJ5" i="9"/>
  <c r="AI123" i="9" l="1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AJ121" i="9"/>
  <c r="AJ119" i="9"/>
  <c r="AJ117" i="9"/>
  <c r="AJ115" i="9"/>
  <c r="AJ113" i="9"/>
  <c r="AJ111" i="9"/>
  <c r="AJ109" i="9"/>
  <c r="AJ107" i="9"/>
  <c r="AJ105" i="9"/>
  <c r="AJ103" i="9"/>
  <c r="AJ101" i="9"/>
  <c r="AJ99" i="9"/>
  <c r="AJ97" i="9"/>
  <c r="AJ95" i="9"/>
  <c r="AJ93" i="9"/>
  <c r="AJ91" i="9"/>
  <c r="AJ89" i="9"/>
  <c r="AJ87" i="9"/>
  <c r="AJ85" i="9"/>
  <c r="AJ83" i="9"/>
  <c r="AJ81" i="9"/>
  <c r="AJ79" i="9"/>
  <c r="AJ77" i="9"/>
  <c r="AJ75" i="9"/>
  <c r="AJ73" i="9"/>
  <c r="AJ71" i="9"/>
  <c r="AJ69" i="9"/>
  <c r="AJ67" i="9"/>
  <c r="AJ65" i="9"/>
  <c r="AJ63" i="9"/>
  <c r="AJ61" i="9"/>
  <c r="AJ59" i="9"/>
  <c r="AJ57" i="9"/>
  <c r="AJ55" i="9"/>
  <c r="AJ53" i="9"/>
  <c r="AJ51" i="9"/>
  <c r="AJ49" i="9"/>
  <c r="AJ47" i="9"/>
  <c r="AJ45" i="9"/>
  <c r="AJ43" i="9"/>
  <c r="AJ41" i="9"/>
  <c r="AJ39" i="9"/>
  <c r="AJ37" i="9"/>
  <c r="AJ35" i="9"/>
  <c r="AJ33" i="9"/>
  <c r="AJ31" i="9"/>
  <c r="AJ29" i="9"/>
  <c r="AJ27" i="9"/>
  <c r="AJ25" i="9"/>
  <c r="AJ23" i="9"/>
  <c r="AJ21" i="9"/>
  <c r="AJ19" i="9"/>
  <c r="AJ15" i="9"/>
  <c r="AJ13" i="9"/>
  <c r="AJ11" i="9"/>
  <c r="AJ9" i="9"/>
  <c r="AJ7" i="9"/>
  <c r="AJ123" i="9" l="1"/>
  <c r="AI239" i="8"/>
  <c r="AH239" i="8"/>
  <c r="AG239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AO236" i="8"/>
  <c r="AK236" i="8"/>
  <c r="AJ236" i="8"/>
  <c r="AN236" i="8" s="1"/>
  <c r="AN233" i="8"/>
  <c r="AK233" i="8"/>
  <c r="AO233" i="8" s="1"/>
  <c r="AJ233" i="8"/>
  <c r="AO230" i="8"/>
  <c r="AK230" i="8"/>
  <c r="AJ230" i="8"/>
  <c r="AN230" i="8" s="1"/>
  <c r="AN227" i="8"/>
  <c r="AK227" i="8"/>
  <c r="AO227" i="8" s="1"/>
  <c r="AJ227" i="8"/>
  <c r="AP227" i="8" s="1"/>
  <c r="AO224" i="8"/>
  <c r="AK224" i="8"/>
  <c r="AJ224" i="8"/>
  <c r="AN224" i="8" s="1"/>
  <c r="AN221" i="8"/>
  <c r="AK221" i="8"/>
  <c r="AO221" i="8" s="1"/>
  <c r="AJ221" i="8"/>
  <c r="AO218" i="8"/>
  <c r="AK218" i="8"/>
  <c r="AJ218" i="8"/>
  <c r="AN218" i="8" s="1"/>
  <c r="AN215" i="8"/>
  <c r="AK215" i="8"/>
  <c r="AO215" i="8" s="1"/>
  <c r="AJ215" i="8"/>
  <c r="AP215" i="8" s="1"/>
  <c r="AO212" i="8"/>
  <c r="AK212" i="8"/>
  <c r="AJ212" i="8"/>
  <c r="AN212" i="8" s="1"/>
  <c r="AN209" i="8"/>
  <c r="AK209" i="8"/>
  <c r="AO209" i="8" s="1"/>
  <c r="AJ209" i="8"/>
  <c r="AO206" i="8"/>
  <c r="AK206" i="8"/>
  <c r="AJ206" i="8"/>
  <c r="AN206" i="8" s="1"/>
  <c r="AN203" i="8"/>
  <c r="AK203" i="8"/>
  <c r="AO203" i="8" s="1"/>
  <c r="AJ203" i="8"/>
  <c r="AP203" i="8" s="1"/>
  <c r="AO200" i="8"/>
  <c r="AK200" i="8"/>
  <c r="AJ200" i="8"/>
  <c r="AN200" i="8" s="1"/>
  <c r="AN197" i="8"/>
  <c r="AK197" i="8"/>
  <c r="AO197" i="8" s="1"/>
  <c r="AJ197" i="8"/>
  <c r="AO194" i="8"/>
  <c r="AK194" i="8"/>
  <c r="AJ194" i="8"/>
  <c r="AN194" i="8" s="1"/>
  <c r="AN191" i="8"/>
  <c r="AK191" i="8"/>
  <c r="AO191" i="8" s="1"/>
  <c r="AJ191" i="8"/>
  <c r="AP191" i="8" s="1"/>
  <c r="AO188" i="8"/>
  <c r="AK188" i="8"/>
  <c r="AJ188" i="8"/>
  <c r="AN185" i="8"/>
  <c r="AK185" i="8"/>
  <c r="AO185" i="8" s="1"/>
  <c r="AJ185" i="8"/>
  <c r="AP182" i="8"/>
  <c r="AO182" i="8"/>
  <c r="AK182" i="8"/>
  <c r="AJ182" i="8"/>
  <c r="AN182" i="8" s="1"/>
  <c r="AN179" i="8"/>
  <c r="AK179" i="8"/>
  <c r="AO179" i="8" s="1"/>
  <c r="AJ179" i="8"/>
  <c r="AP176" i="8"/>
  <c r="AO176" i="8"/>
  <c r="AK176" i="8"/>
  <c r="AJ176" i="8"/>
  <c r="AN176" i="8" s="1"/>
  <c r="AN173" i="8"/>
  <c r="AK173" i="8"/>
  <c r="AO173" i="8" s="1"/>
  <c r="AJ173" i="8"/>
  <c r="AP170" i="8"/>
  <c r="AO170" i="8"/>
  <c r="AK170" i="8"/>
  <c r="AJ170" i="8"/>
  <c r="AN170" i="8" s="1"/>
  <c r="AN167" i="8"/>
  <c r="AK167" i="8"/>
  <c r="AO167" i="8" s="1"/>
  <c r="AJ167" i="8"/>
  <c r="AP164" i="8"/>
  <c r="AO164" i="8"/>
  <c r="AK164" i="8"/>
  <c r="AJ164" i="8"/>
  <c r="AN164" i="8" s="1"/>
  <c r="AK161" i="8"/>
  <c r="AO161" i="8" s="1"/>
  <c r="AJ161" i="8"/>
  <c r="AN161" i="8" s="1"/>
  <c r="AO158" i="8"/>
  <c r="AN158" i="8"/>
  <c r="AK158" i="8"/>
  <c r="AJ158" i="8"/>
  <c r="AP158" i="8" s="1"/>
  <c r="AK155" i="8"/>
  <c r="AO155" i="8" s="1"/>
  <c r="AJ155" i="8"/>
  <c r="AN155" i="8" s="1"/>
  <c r="AO152" i="8"/>
  <c r="AN152" i="8"/>
  <c r="AK152" i="8"/>
  <c r="AJ152" i="8"/>
  <c r="AP152" i="8" s="1"/>
  <c r="AK149" i="8"/>
  <c r="AO149" i="8" s="1"/>
  <c r="AJ149" i="8"/>
  <c r="AN149" i="8" s="1"/>
  <c r="AO146" i="8"/>
  <c r="AN146" i="8"/>
  <c r="AK146" i="8"/>
  <c r="AJ146" i="8"/>
  <c r="AP146" i="8" s="1"/>
  <c r="AK143" i="8"/>
  <c r="AO143" i="8" s="1"/>
  <c r="AJ143" i="8"/>
  <c r="AN143" i="8" s="1"/>
  <c r="AO140" i="8"/>
  <c r="AN140" i="8"/>
  <c r="AK140" i="8"/>
  <c r="AJ140" i="8"/>
  <c r="AP140" i="8" s="1"/>
  <c r="AO137" i="8"/>
  <c r="AK137" i="8"/>
  <c r="AJ137" i="8"/>
  <c r="AN137" i="8" s="1"/>
  <c r="AN134" i="8"/>
  <c r="AK134" i="8"/>
  <c r="AO134" i="8" s="1"/>
  <c r="AJ134" i="8"/>
  <c r="AP134" i="8" s="1"/>
  <c r="AO131" i="8"/>
  <c r="AK131" i="8"/>
  <c r="AJ131" i="8"/>
  <c r="AN131" i="8" s="1"/>
  <c r="AN128" i="8"/>
  <c r="AK128" i="8"/>
  <c r="AO128" i="8" s="1"/>
  <c r="AJ128" i="8"/>
  <c r="AP128" i="8" s="1"/>
  <c r="AO125" i="8"/>
  <c r="AK125" i="8"/>
  <c r="AJ125" i="8"/>
  <c r="AN125" i="8" s="1"/>
  <c r="AN122" i="8"/>
  <c r="AK122" i="8"/>
  <c r="AO122" i="8" s="1"/>
  <c r="AJ122" i="8"/>
  <c r="AP122" i="8" s="1"/>
  <c r="AO119" i="8"/>
  <c r="AK119" i="8"/>
  <c r="AJ119" i="8"/>
  <c r="AN119" i="8" s="1"/>
  <c r="AN116" i="8"/>
  <c r="AK116" i="8"/>
  <c r="AO116" i="8" s="1"/>
  <c r="AJ116" i="8"/>
  <c r="AP116" i="8" s="1"/>
  <c r="AO113" i="8"/>
  <c r="AK113" i="8"/>
  <c r="AJ113" i="8"/>
  <c r="AN113" i="8" s="1"/>
  <c r="AN110" i="8"/>
  <c r="AK110" i="8"/>
  <c r="AO110" i="8" s="1"/>
  <c r="AJ110" i="8"/>
  <c r="AP110" i="8" s="1"/>
  <c r="AO107" i="8"/>
  <c r="AK107" i="8"/>
  <c r="AJ107" i="8"/>
  <c r="AN107" i="8" s="1"/>
  <c r="AN104" i="8"/>
  <c r="AK104" i="8"/>
  <c r="AO104" i="8" s="1"/>
  <c r="AJ104" i="8"/>
  <c r="AP104" i="8" s="1"/>
  <c r="AO101" i="8"/>
  <c r="AK101" i="8"/>
  <c r="AJ101" i="8"/>
  <c r="AN101" i="8" s="1"/>
  <c r="AN98" i="8"/>
  <c r="AK98" i="8"/>
  <c r="AO98" i="8" s="1"/>
  <c r="AJ98" i="8"/>
  <c r="AP98" i="8" s="1"/>
  <c r="AO95" i="8"/>
  <c r="AK95" i="8"/>
  <c r="AJ95" i="8"/>
  <c r="AN95" i="8" s="1"/>
  <c r="AN92" i="8"/>
  <c r="AK92" i="8"/>
  <c r="AO92" i="8" s="1"/>
  <c r="AJ92" i="8"/>
  <c r="AP92" i="8" s="1"/>
  <c r="AO89" i="8"/>
  <c r="AK89" i="8"/>
  <c r="AJ89" i="8"/>
  <c r="AN89" i="8" s="1"/>
  <c r="AN86" i="8"/>
  <c r="AK86" i="8"/>
  <c r="AO86" i="8" s="1"/>
  <c r="AJ86" i="8"/>
  <c r="AP86" i="8" s="1"/>
  <c r="AO83" i="8"/>
  <c r="AK83" i="8"/>
  <c r="AJ83" i="8"/>
  <c r="AN83" i="8" s="1"/>
  <c r="AN80" i="8"/>
  <c r="AK80" i="8"/>
  <c r="AO80" i="8" s="1"/>
  <c r="AJ80" i="8"/>
  <c r="AP80" i="8" s="1"/>
  <c r="AO77" i="8"/>
  <c r="AK77" i="8"/>
  <c r="AJ77" i="8"/>
  <c r="AN77" i="8" s="1"/>
  <c r="AN74" i="8"/>
  <c r="AK74" i="8"/>
  <c r="AO74" i="8" s="1"/>
  <c r="AJ74" i="8"/>
  <c r="AP74" i="8" s="1"/>
  <c r="AO71" i="8"/>
  <c r="AK71" i="8"/>
  <c r="AJ71" i="8"/>
  <c r="AN71" i="8" s="1"/>
  <c r="AN68" i="8"/>
  <c r="AK68" i="8"/>
  <c r="AO68" i="8" s="1"/>
  <c r="AJ68" i="8"/>
  <c r="AP68" i="8" s="1"/>
  <c r="AO65" i="8"/>
  <c r="AK65" i="8"/>
  <c r="AJ65" i="8"/>
  <c r="AN65" i="8" s="1"/>
  <c r="AN62" i="8"/>
  <c r="AK62" i="8"/>
  <c r="AO62" i="8" s="1"/>
  <c r="AJ62" i="8"/>
  <c r="AP62" i="8" s="1"/>
  <c r="AO59" i="8"/>
  <c r="AK59" i="8"/>
  <c r="AJ59" i="8"/>
  <c r="AN59" i="8" s="1"/>
  <c r="AN56" i="8"/>
  <c r="AK56" i="8"/>
  <c r="AO56" i="8" s="1"/>
  <c r="AJ56" i="8"/>
  <c r="AP56" i="8" s="1"/>
  <c r="AO53" i="8"/>
  <c r="AK53" i="8"/>
  <c r="AJ53" i="8"/>
  <c r="AN53" i="8" s="1"/>
  <c r="AN50" i="8"/>
  <c r="AK50" i="8"/>
  <c r="AO50" i="8" s="1"/>
  <c r="AJ50" i="8"/>
  <c r="AP50" i="8" s="1"/>
  <c r="AO47" i="8"/>
  <c r="AK47" i="8"/>
  <c r="AJ47" i="8"/>
  <c r="AN47" i="8" s="1"/>
  <c r="AN44" i="8"/>
  <c r="AK44" i="8"/>
  <c r="AO44" i="8" s="1"/>
  <c r="AJ44" i="8"/>
  <c r="AP44" i="8" s="1"/>
  <c r="AO41" i="8"/>
  <c r="AK41" i="8"/>
  <c r="AJ41" i="8"/>
  <c r="AN41" i="8" s="1"/>
  <c r="AN38" i="8"/>
  <c r="AK38" i="8"/>
  <c r="AO38" i="8" s="1"/>
  <c r="AJ38" i="8"/>
  <c r="AP38" i="8" s="1"/>
  <c r="AO35" i="8"/>
  <c r="AK35" i="8"/>
  <c r="AJ35" i="8"/>
  <c r="AN35" i="8" s="1"/>
  <c r="AN32" i="8"/>
  <c r="AK32" i="8"/>
  <c r="AO32" i="8" s="1"/>
  <c r="AJ32" i="8"/>
  <c r="AP32" i="8" s="1"/>
  <c r="AO29" i="8"/>
  <c r="AK29" i="8"/>
  <c r="AJ29" i="8"/>
  <c r="AN29" i="8" s="1"/>
  <c r="AN26" i="8"/>
  <c r="AK26" i="8"/>
  <c r="AO26" i="8" s="1"/>
  <c r="AJ26" i="8"/>
  <c r="AP26" i="8" s="1"/>
  <c r="AO23" i="8"/>
  <c r="AK23" i="8"/>
  <c r="AJ23" i="8"/>
  <c r="AN23" i="8" s="1"/>
  <c r="AN20" i="8"/>
  <c r="AK20" i="8"/>
  <c r="AO20" i="8" s="1"/>
  <c r="AJ20" i="8"/>
  <c r="AP20" i="8" s="1"/>
  <c r="AO17" i="8"/>
  <c r="AK17" i="8"/>
  <c r="AJ17" i="8"/>
  <c r="AN17" i="8" s="1"/>
  <c r="AN14" i="8"/>
  <c r="AK14" i="8"/>
  <c r="AO14" i="8" s="1"/>
  <c r="AJ14" i="8"/>
  <c r="AP14" i="8" s="1"/>
  <c r="AO11" i="8"/>
  <c r="AK11" i="8"/>
  <c r="AJ11" i="8"/>
  <c r="AN11" i="8" s="1"/>
  <c r="A11" i="8"/>
  <c r="A14" i="8" s="1"/>
  <c r="A17" i="8" s="1"/>
  <c r="A20" i="8" s="1"/>
  <c r="A23" i="8" s="1"/>
  <c r="A26" i="8" s="1"/>
  <c r="A29" i="8" s="1"/>
  <c r="A32" i="8" s="1"/>
  <c r="A35" i="8" s="1"/>
  <c r="A38" i="8" s="1"/>
  <c r="A41" i="8" s="1"/>
  <c r="A44" i="8" s="1"/>
  <c r="A47" i="8" s="1"/>
  <c r="A50" i="8" s="1"/>
  <c r="A53" i="8" s="1"/>
  <c r="A56" i="8" s="1"/>
  <c r="A59" i="8" s="1"/>
  <c r="A62" i="8" s="1"/>
  <c r="A65" i="8" s="1"/>
  <c r="A68" i="8" s="1"/>
  <c r="A71" i="8" s="1"/>
  <c r="A74" i="8" s="1"/>
  <c r="A77" i="8" s="1"/>
  <c r="A80" i="8" s="1"/>
  <c r="A83" i="8" s="1"/>
  <c r="A86" i="8" s="1"/>
  <c r="A89" i="8" s="1"/>
  <c r="A92" i="8" s="1"/>
  <c r="A95" i="8" s="1"/>
  <c r="A98" i="8" s="1"/>
  <c r="A101" i="8" s="1"/>
  <c r="A104" i="8" s="1"/>
  <c r="A107" i="8" s="1"/>
  <c r="A110" i="8" s="1"/>
  <c r="A113" i="8" s="1"/>
  <c r="A116" i="8" s="1"/>
  <c r="A119" i="8" s="1"/>
  <c r="A122" i="8" s="1"/>
  <c r="A125" i="8" s="1"/>
  <c r="AK8" i="8"/>
  <c r="AO8" i="8" s="1"/>
  <c r="AJ8" i="8"/>
  <c r="AP8" i="8" s="1"/>
  <c r="A8" i="8"/>
  <c r="AK5" i="8"/>
  <c r="AK239" i="8" s="1"/>
  <c r="AJ5" i="8"/>
  <c r="AN5" i="8" s="1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AN236" i="7"/>
  <c r="AK236" i="7"/>
  <c r="AO236" i="7" s="1"/>
  <c r="AJ236" i="7"/>
  <c r="AO233" i="7"/>
  <c r="AK233" i="7"/>
  <c r="AJ233" i="7"/>
  <c r="AN233" i="7" s="1"/>
  <c r="AN230" i="7"/>
  <c r="AK230" i="7"/>
  <c r="AO230" i="7" s="1"/>
  <c r="AJ230" i="7"/>
  <c r="AP230" i="7" s="1"/>
  <c r="AO227" i="7"/>
  <c r="AK227" i="7"/>
  <c r="AJ227" i="7"/>
  <c r="AN227" i="7" s="1"/>
  <c r="AN224" i="7"/>
  <c r="AK224" i="7"/>
  <c r="AO224" i="7" s="1"/>
  <c r="AJ224" i="7"/>
  <c r="AO221" i="7"/>
  <c r="AK221" i="7"/>
  <c r="AJ221" i="7"/>
  <c r="AN221" i="7" s="1"/>
  <c r="AN218" i="7"/>
  <c r="AK218" i="7"/>
  <c r="AO218" i="7" s="1"/>
  <c r="AJ218" i="7"/>
  <c r="AP218" i="7" s="1"/>
  <c r="AO215" i="7"/>
  <c r="AK215" i="7"/>
  <c r="AJ215" i="7"/>
  <c r="AN215" i="7" s="1"/>
  <c r="AN212" i="7"/>
  <c r="AK212" i="7"/>
  <c r="AO212" i="7" s="1"/>
  <c r="AJ212" i="7"/>
  <c r="AO209" i="7"/>
  <c r="AK209" i="7"/>
  <c r="AJ209" i="7"/>
  <c r="AN209" i="7" s="1"/>
  <c r="AN206" i="7"/>
  <c r="AK206" i="7"/>
  <c r="AO206" i="7" s="1"/>
  <c r="AJ206" i="7"/>
  <c r="AP206" i="7" s="1"/>
  <c r="AO203" i="7"/>
  <c r="AK203" i="7"/>
  <c r="AJ203" i="7"/>
  <c r="AN203" i="7" s="1"/>
  <c r="AN200" i="7"/>
  <c r="AK200" i="7"/>
  <c r="AO200" i="7" s="1"/>
  <c r="AJ200" i="7"/>
  <c r="AO197" i="7"/>
  <c r="AK197" i="7"/>
  <c r="AJ197" i="7"/>
  <c r="AN197" i="7" s="1"/>
  <c r="AN194" i="7"/>
  <c r="AK194" i="7"/>
  <c r="AO194" i="7" s="1"/>
  <c r="AJ194" i="7"/>
  <c r="AP194" i="7" s="1"/>
  <c r="AO191" i="7"/>
  <c r="AK191" i="7"/>
  <c r="AJ191" i="7"/>
  <c r="AN191" i="7" s="1"/>
  <c r="AN188" i="7"/>
  <c r="AK188" i="7"/>
  <c r="AO188" i="7" s="1"/>
  <c r="AJ188" i="7"/>
  <c r="AO185" i="7"/>
  <c r="AK185" i="7"/>
  <c r="AJ185" i="7"/>
  <c r="AN185" i="7" s="1"/>
  <c r="AN182" i="7"/>
  <c r="AK182" i="7"/>
  <c r="AO182" i="7" s="1"/>
  <c r="AJ182" i="7"/>
  <c r="AP182" i="7" s="1"/>
  <c r="AO179" i="7"/>
  <c r="AK179" i="7"/>
  <c r="AJ179" i="7"/>
  <c r="AN179" i="7" s="1"/>
  <c r="AN176" i="7"/>
  <c r="AK176" i="7"/>
  <c r="AO176" i="7" s="1"/>
  <c r="AJ176" i="7"/>
  <c r="AO173" i="7"/>
  <c r="AK173" i="7"/>
  <c r="AJ173" i="7"/>
  <c r="AN173" i="7" s="1"/>
  <c r="AN170" i="7"/>
  <c r="AK170" i="7"/>
  <c r="AO170" i="7" s="1"/>
  <c r="AJ170" i="7"/>
  <c r="AP170" i="7" s="1"/>
  <c r="AO167" i="7"/>
  <c r="AK167" i="7"/>
  <c r="AJ167" i="7"/>
  <c r="AN167" i="7" s="1"/>
  <c r="AN164" i="7"/>
  <c r="AK164" i="7"/>
  <c r="AO164" i="7" s="1"/>
  <c r="AJ164" i="7"/>
  <c r="AO161" i="7"/>
  <c r="AN161" i="7"/>
  <c r="AK161" i="7"/>
  <c r="AJ161" i="7"/>
  <c r="AP158" i="7"/>
  <c r="AK158" i="7"/>
  <c r="AO158" i="7" s="1"/>
  <c r="AJ158" i="7"/>
  <c r="AN158" i="7" s="1"/>
  <c r="AO155" i="7"/>
  <c r="AN155" i="7"/>
  <c r="AK155" i="7"/>
  <c r="AJ155" i="7"/>
  <c r="AP155" i="7" s="1"/>
  <c r="AK152" i="7"/>
  <c r="AO152" i="7" s="1"/>
  <c r="AJ152" i="7"/>
  <c r="AN152" i="7" s="1"/>
  <c r="AO149" i="7"/>
  <c r="AN149" i="7"/>
  <c r="AK149" i="7"/>
  <c r="AJ149" i="7"/>
  <c r="AP149" i="7" s="1"/>
  <c r="AK146" i="7"/>
  <c r="AO146" i="7" s="1"/>
  <c r="AJ146" i="7"/>
  <c r="AN146" i="7" s="1"/>
  <c r="AO143" i="7"/>
  <c r="AN143" i="7"/>
  <c r="AK143" i="7"/>
  <c r="AJ143" i="7"/>
  <c r="AP143" i="7" s="1"/>
  <c r="AP140" i="7"/>
  <c r="AK140" i="7"/>
  <c r="AO140" i="7" s="1"/>
  <c r="AJ140" i="7"/>
  <c r="AN140" i="7" s="1"/>
  <c r="AN137" i="7"/>
  <c r="AK137" i="7"/>
  <c r="AO137" i="7" s="1"/>
  <c r="AJ137" i="7"/>
  <c r="AP137" i="7" s="1"/>
  <c r="AO134" i="7"/>
  <c r="AK134" i="7"/>
  <c r="AJ134" i="7"/>
  <c r="AN134" i="7" s="1"/>
  <c r="AN131" i="7"/>
  <c r="AK131" i="7"/>
  <c r="AO131" i="7" s="1"/>
  <c r="AJ131" i="7"/>
  <c r="AO128" i="7"/>
  <c r="AK128" i="7"/>
  <c r="AJ128" i="7"/>
  <c r="AN128" i="7" s="1"/>
  <c r="AN125" i="7"/>
  <c r="AK125" i="7"/>
  <c r="AO125" i="7" s="1"/>
  <c r="AJ125" i="7"/>
  <c r="AP125" i="7" s="1"/>
  <c r="AO122" i="7"/>
  <c r="AK122" i="7"/>
  <c r="AJ122" i="7"/>
  <c r="AN122" i="7" s="1"/>
  <c r="AN119" i="7"/>
  <c r="AK119" i="7"/>
  <c r="AO119" i="7" s="1"/>
  <c r="AJ119" i="7"/>
  <c r="AO116" i="7"/>
  <c r="AK116" i="7"/>
  <c r="AJ116" i="7"/>
  <c r="AN116" i="7" s="1"/>
  <c r="AN113" i="7"/>
  <c r="AK113" i="7"/>
  <c r="AO113" i="7" s="1"/>
  <c r="AJ113" i="7"/>
  <c r="AP113" i="7" s="1"/>
  <c r="AO110" i="7"/>
  <c r="AK110" i="7"/>
  <c r="AJ110" i="7"/>
  <c r="AN110" i="7" s="1"/>
  <c r="AN107" i="7"/>
  <c r="AK107" i="7"/>
  <c r="AO107" i="7" s="1"/>
  <c r="AJ107" i="7"/>
  <c r="AO104" i="7"/>
  <c r="AK104" i="7"/>
  <c r="AJ104" i="7"/>
  <c r="AN104" i="7" s="1"/>
  <c r="AK101" i="7"/>
  <c r="AO101" i="7" s="1"/>
  <c r="AJ101" i="7"/>
  <c r="AO98" i="7"/>
  <c r="AK98" i="7"/>
  <c r="AJ98" i="7"/>
  <c r="AN98" i="7" s="1"/>
  <c r="AK95" i="7"/>
  <c r="AO95" i="7" s="1"/>
  <c r="AJ95" i="7"/>
  <c r="AO92" i="7"/>
  <c r="AN92" i="7"/>
  <c r="AK92" i="7"/>
  <c r="AJ92" i="7"/>
  <c r="AP92" i="7" s="1"/>
  <c r="AK89" i="7"/>
  <c r="AO89" i="7" s="1"/>
  <c r="AJ89" i="7"/>
  <c r="AP89" i="7" s="1"/>
  <c r="AO86" i="7"/>
  <c r="AN86" i="7"/>
  <c r="AK86" i="7"/>
  <c r="AJ86" i="7"/>
  <c r="AP86" i="7" s="1"/>
  <c r="AK83" i="7"/>
  <c r="AO83" i="7" s="1"/>
  <c r="AJ83" i="7"/>
  <c r="AO80" i="7"/>
  <c r="AN80" i="7"/>
  <c r="AK80" i="7"/>
  <c r="AJ80" i="7"/>
  <c r="AP80" i="7" s="1"/>
  <c r="AK77" i="7"/>
  <c r="AO77" i="7" s="1"/>
  <c r="AJ77" i="7"/>
  <c r="AP77" i="7" s="1"/>
  <c r="AO74" i="7"/>
  <c r="AN74" i="7"/>
  <c r="AK74" i="7"/>
  <c r="AJ74" i="7"/>
  <c r="AP74" i="7" s="1"/>
  <c r="AP71" i="7"/>
  <c r="AK71" i="7"/>
  <c r="AO71" i="7" s="1"/>
  <c r="AJ71" i="7"/>
  <c r="AN71" i="7" s="1"/>
  <c r="AO68" i="7"/>
  <c r="AN68" i="7"/>
  <c r="AK68" i="7"/>
  <c r="AJ68" i="7"/>
  <c r="AP68" i="7" s="1"/>
  <c r="AP65" i="7"/>
  <c r="AK65" i="7"/>
  <c r="AO65" i="7" s="1"/>
  <c r="AJ65" i="7"/>
  <c r="AN65" i="7" s="1"/>
  <c r="AO62" i="7"/>
  <c r="AK62" i="7"/>
  <c r="AJ62" i="7"/>
  <c r="AP62" i="7" s="1"/>
  <c r="AK59" i="7"/>
  <c r="AO59" i="7" s="1"/>
  <c r="AJ59" i="7"/>
  <c r="AN59" i="7" s="1"/>
  <c r="AK56" i="7"/>
  <c r="AO56" i="7" s="1"/>
  <c r="AJ56" i="7"/>
  <c r="AP56" i="7" s="1"/>
  <c r="AK53" i="7"/>
  <c r="AO53" i="7" s="1"/>
  <c r="AJ53" i="7"/>
  <c r="AO50" i="7"/>
  <c r="AK50" i="7"/>
  <c r="AJ50" i="7"/>
  <c r="AP50" i="7" s="1"/>
  <c r="AK47" i="7"/>
  <c r="AO47" i="7" s="1"/>
  <c r="AJ47" i="7"/>
  <c r="AP47" i="7" s="1"/>
  <c r="AO44" i="7"/>
  <c r="AN44" i="7"/>
  <c r="AK44" i="7"/>
  <c r="AJ44" i="7"/>
  <c r="AP44" i="7" s="1"/>
  <c r="AK41" i="7"/>
  <c r="AO41" i="7" s="1"/>
  <c r="AJ41" i="7"/>
  <c r="AP41" i="7" s="1"/>
  <c r="AO38" i="7"/>
  <c r="AK38" i="7"/>
  <c r="AJ38" i="7"/>
  <c r="AP38" i="7" s="1"/>
  <c r="AN35" i="7"/>
  <c r="AK35" i="7"/>
  <c r="AO35" i="7" s="1"/>
  <c r="AJ35" i="7"/>
  <c r="AP35" i="7" s="1"/>
  <c r="AO32" i="7"/>
  <c r="AN32" i="7"/>
  <c r="AK32" i="7"/>
  <c r="AJ32" i="7"/>
  <c r="AP32" i="7" s="1"/>
  <c r="AK29" i="7"/>
  <c r="AO29" i="7" s="1"/>
  <c r="AJ29" i="7"/>
  <c r="AP29" i="7" s="1"/>
  <c r="AO26" i="7"/>
  <c r="AK26" i="7"/>
  <c r="AJ26" i="7"/>
  <c r="AP26" i="7" s="1"/>
  <c r="AK23" i="7"/>
  <c r="AO23" i="7" s="1"/>
  <c r="AJ23" i="7"/>
  <c r="AP23" i="7" s="1"/>
  <c r="AO20" i="7"/>
  <c r="AK20" i="7"/>
  <c r="AJ20" i="7"/>
  <c r="AP20" i="7" s="1"/>
  <c r="AK17" i="7"/>
  <c r="AO17" i="7" s="1"/>
  <c r="AJ17" i="7"/>
  <c r="AP17" i="7" s="1"/>
  <c r="AO14" i="7"/>
  <c r="AK14" i="7"/>
  <c r="AJ14" i="7"/>
  <c r="AP14" i="7" s="1"/>
  <c r="AK11" i="7"/>
  <c r="AO11" i="7" s="1"/>
  <c r="AJ11" i="7"/>
  <c r="AP11" i="7" s="1"/>
  <c r="AO8" i="7"/>
  <c r="AN8" i="7"/>
  <c r="AK8" i="7"/>
  <c r="AJ8" i="7"/>
  <c r="AP8" i="7" s="1"/>
  <c r="A8" i="7"/>
  <c r="A11" i="7" s="1"/>
  <c r="A14" i="7" s="1"/>
  <c r="A17" i="7" s="1"/>
  <c r="A20" i="7" s="1"/>
  <c r="A23" i="7" s="1"/>
  <c r="A26" i="7" s="1"/>
  <c r="A29" i="7" s="1"/>
  <c r="A32" i="7" s="1"/>
  <c r="A35" i="7" s="1"/>
  <c r="A38" i="7" s="1"/>
  <c r="A41" i="7" s="1"/>
  <c r="A44" i="7" s="1"/>
  <c r="A47" i="7" s="1"/>
  <c r="A50" i="7" s="1"/>
  <c r="A53" i="7" s="1"/>
  <c r="A56" i="7" s="1"/>
  <c r="A59" i="7" s="1"/>
  <c r="A62" i="7" s="1"/>
  <c r="A65" i="7" s="1"/>
  <c r="A68" i="7" s="1"/>
  <c r="A71" i="7" s="1"/>
  <c r="A74" i="7" s="1"/>
  <c r="A77" i="7" s="1"/>
  <c r="A80" i="7" s="1"/>
  <c r="A83" i="7" s="1"/>
  <c r="A86" i="7" s="1"/>
  <c r="A89" i="7" s="1"/>
  <c r="A92" i="7" s="1"/>
  <c r="A95" i="7" s="1"/>
  <c r="A98" i="7" s="1"/>
  <c r="A101" i="7" s="1"/>
  <c r="A104" i="7" s="1"/>
  <c r="A107" i="7" s="1"/>
  <c r="A110" i="7" s="1"/>
  <c r="A113" i="7" s="1"/>
  <c r="A116" i="7" s="1"/>
  <c r="A119" i="7" s="1"/>
  <c r="A122" i="7" s="1"/>
  <c r="A125" i="7" s="1"/>
  <c r="AK5" i="7"/>
  <c r="AO5" i="7" s="1"/>
  <c r="AJ5" i="7"/>
  <c r="AP5" i="7" s="1"/>
  <c r="AI239" i="6"/>
  <c r="AH239" i="6"/>
  <c r="AG239" i="6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AN236" i="6"/>
  <c r="AK236" i="6"/>
  <c r="AO236" i="6" s="1"/>
  <c r="AJ236" i="6"/>
  <c r="AP236" i="6" s="1"/>
  <c r="AK233" i="6"/>
  <c r="AO233" i="6" s="1"/>
  <c r="AJ233" i="6"/>
  <c r="AN233" i="6" s="1"/>
  <c r="AO230" i="6"/>
  <c r="AN230" i="6"/>
  <c r="AK230" i="6"/>
  <c r="AJ230" i="6"/>
  <c r="AP230" i="6" s="1"/>
  <c r="AK227" i="6"/>
  <c r="AO227" i="6" s="1"/>
  <c r="AJ227" i="6"/>
  <c r="AN227" i="6" s="1"/>
  <c r="AO224" i="6"/>
  <c r="AN224" i="6"/>
  <c r="AK224" i="6"/>
  <c r="AJ224" i="6"/>
  <c r="AP224" i="6" s="1"/>
  <c r="AP221" i="6"/>
  <c r="AK221" i="6"/>
  <c r="AO221" i="6" s="1"/>
  <c r="AJ221" i="6"/>
  <c r="AN221" i="6" s="1"/>
  <c r="AO218" i="6"/>
  <c r="AN218" i="6"/>
  <c r="AK218" i="6"/>
  <c r="AJ218" i="6"/>
  <c r="AP218" i="6" s="1"/>
  <c r="AP215" i="6"/>
  <c r="AK215" i="6"/>
  <c r="AO215" i="6" s="1"/>
  <c r="AJ215" i="6"/>
  <c r="AN215" i="6" s="1"/>
  <c r="AO212" i="6"/>
  <c r="AN212" i="6"/>
  <c r="AK212" i="6"/>
  <c r="AJ212" i="6"/>
  <c r="AP212" i="6" s="1"/>
  <c r="AK209" i="6"/>
  <c r="AO209" i="6" s="1"/>
  <c r="AJ209" i="6"/>
  <c r="AN209" i="6" s="1"/>
  <c r="AO206" i="6"/>
  <c r="AN206" i="6"/>
  <c r="AK206" i="6"/>
  <c r="AJ206" i="6"/>
  <c r="AP206" i="6" s="1"/>
  <c r="AK203" i="6"/>
  <c r="AO203" i="6" s="1"/>
  <c r="AJ203" i="6"/>
  <c r="AN203" i="6" s="1"/>
  <c r="AO200" i="6"/>
  <c r="AK200" i="6"/>
  <c r="AJ200" i="6"/>
  <c r="AP200" i="6" s="1"/>
  <c r="AK197" i="6"/>
  <c r="AO197" i="6" s="1"/>
  <c r="AJ197" i="6"/>
  <c r="AN197" i="6" s="1"/>
  <c r="AO194" i="6"/>
  <c r="AK194" i="6"/>
  <c r="AJ194" i="6"/>
  <c r="AP194" i="6" s="1"/>
  <c r="AP191" i="6"/>
  <c r="AK191" i="6"/>
  <c r="AO191" i="6" s="1"/>
  <c r="AJ191" i="6"/>
  <c r="AN191" i="6" s="1"/>
  <c r="AO188" i="6"/>
  <c r="AN188" i="6"/>
  <c r="AK188" i="6"/>
  <c r="AJ188" i="6"/>
  <c r="AP188" i="6" s="1"/>
  <c r="AK185" i="6"/>
  <c r="AO185" i="6" s="1"/>
  <c r="AJ185" i="6"/>
  <c r="AN185" i="6" s="1"/>
  <c r="AO182" i="6"/>
  <c r="AK182" i="6"/>
  <c r="AJ182" i="6"/>
  <c r="AP182" i="6" s="1"/>
  <c r="AK179" i="6"/>
  <c r="AO179" i="6" s="1"/>
  <c r="AJ179" i="6"/>
  <c r="AN179" i="6" s="1"/>
  <c r="AO176" i="6"/>
  <c r="AN176" i="6"/>
  <c r="AK176" i="6"/>
  <c r="AJ176" i="6"/>
  <c r="AP176" i="6" s="1"/>
  <c r="AP173" i="6"/>
  <c r="AK173" i="6"/>
  <c r="AO173" i="6" s="1"/>
  <c r="AJ173" i="6"/>
  <c r="AN173" i="6" s="1"/>
  <c r="AO170" i="6"/>
  <c r="AN170" i="6"/>
  <c r="AK170" i="6"/>
  <c r="AJ170" i="6"/>
  <c r="AP170" i="6" s="1"/>
  <c r="AK167" i="6"/>
  <c r="AO167" i="6" s="1"/>
  <c r="AJ167" i="6"/>
  <c r="AN167" i="6" s="1"/>
  <c r="AO164" i="6"/>
  <c r="AK164" i="6"/>
  <c r="AJ164" i="6"/>
  <c r="AP164" i="6" s="1"/>
  <c r="AO161" i="6"/>
  <c r="AK161" i="6"/>
  <c r="AJ161" i="6"/>
  <c r="AN161" i="6" s="1"/>
  <c r="AN158" i="6"/>
  <c r="AK158" i="6"/>
  <c r="AO158" i="6" s="1"/>
  <c r="AJ158" i="6"/>
  <c r="AO155" i="6"/>
  <c r="AK155" i="6"/>
  <c r="AJ155" i="6"/>
  <c r="AP155" i="6" s="1"/>
  <c r="AK152" i="6"/>
  <c r="AO152" i="6" s="1"/>
  <c r="AJ152" i="6"/>
  <c r="AP152" i="6" s="1"/>
  <c r="AO149" i="6"/>
  <c r="AK149" i="6"/>
  <c r="AJ149" i="6"/>
  <c r="AP149" i="6" s="1"/>
  <c r="AN146" i="6"/>
  <c r="AK146" i="6"/>
  <c r="AO146" i="6" s="1"/>
  <c r="AJ146" i="6"/>
  <c r="AO143" i="6"/>
  <c r="AK143" i="6"/>
  <c r="AJ143" i="6"/>
  <c r="AP143" i="6" s="1"/>
  <c r="AK140" i="6"/>
  <c r="AO140" i="6" s="1"/>
  <c r="AJ140" i="6"/>
  <c r="AP140" i="6" s="1"/>
  <c r="AO137" i="6"/>
  <c r="AK137" i="6"/>
  <c r="AJ137" i="6"/>
  <c r="AP137" i="6" s="1"/>
  <c r="AK134" i="6"/>
  <c r="AO134" i="6" s="1"/>
  <c r="AJ134" i="6"/>
  <c r="AN134" i="6" s="1"/>
  <c r="AO131" i="6"/>
  <c r="AN131" i="6"/>
  <c r="AK131" i="6"/>
  <c r="AJ131" i="6"/>
  <c r="AP131" i="6" s="1"/>
  <c r="AK128" i="6"/>
  <c r="AO128" i="6" s="1"/>
  <c r="AJ128" i="6"/>
  <c r="AN128" i="6" s="1"/>
  <c r="AO125" i="6"/>
  <c r="AK125" i="6"/>
  <c r="AJ125" i="6"/>
  <c r="AP125" i="6" s="1"/>
  <c r="AK122" i="6"/>
  <c r="AO122" i="6" s="1"/>
  <c r="AJ122" i="6"/>
  <c r="AN122" i="6" s="1"/>
  <c r="AO119" i="6"/>
  <c r="AK119" i="6"/>
  <c r="AJ119" i="6"/>
  <c r="AP119" i="6" s="1"/>
  <c r="AP116" i="6"/>
  <c r="AK116" i="6"/>
  <c r="AO116" i="6" s="1"/>
  <c r="AJ116" i="6"/>
  <c r="AN116" i="6" s="1"/>
  <c r="AO113" i="6"/>
  <c r="AN113" i="6"/>
  <c r="AK113" i="6"/>
  <c r="AJ113" i="6"/>
  <c r="AP113" i="6" s="1"/>
  <c r="AK110" i="6"/>
  <c r="AO110" i="6" s="1"/>
  <c r="AJ110" i="6"/>
  <c r="AN110" i="6" s="1"/>
  <c r="AO107" i="6"/>
  <c r="AK107" i="6"/>
  <c r="AJ107" i="6"/>
  <c r="AP107" i="6" s="1"/>
  <c r="AK104" i="6"/>
  <c r="AO104" i="6" s="1"/>
  <c r="AJ104" i="6"/>
  <c r="AN104" i="6" s="1"/>
  <c r="AO101" i="6"/>
  <c r="AK101" i="6"/>
  <c r="AJ101" i="6"/>
  <c r="AP101" i="6" s="1"/>
  <c r="AK98" i="6"/>
  <c r="AO98" i="6" s="1"/>
  <c r="AJ98" i="6"/>
  <c r="AN98" i="6" s="1"/>
  <c r="AO95" i="6"/>
  <c r="AK95" i="6"/>
  <c r="AJ95" i="6"/>
  <c r="AP95" i="6" s="1"/>
  <c r="AK92" i="6"/>
  <c r="AO92" i="6" s="1"/>
  <c r="AJ92" i="6"/>
  <c r="AP92" i="6" s="1"/>
  <c r="AO89" i="6"/>
  <c r="AK89" i="6"/>
  <c r="AJ89" i="6"/>
  <c r="AN89" i="6" s="1"/>
  <c r="AK86" i="6"/>
  <c r="AO86" i="6" s="1"/>
  <c r="AJ86" i="6"/>
  <c r="AP86" i="6" s="1"/>
  <c r="AO83" i="6"/>
  <c r="AK83" i="6"/>
  <c r="AJ83" i="6"/>
  <c r="AP83" i="6" s="1"/>
  <c r="AK80" i="6"/>
  <c r="AO80" i="6" s="1"/>
  <c r="AJ80" i="6"/>
  <c r="AN80" i="6" s="1"/>
  <c r="AO77" i="6"/>
  <c r="AK77" i="6"/>
  <c r="AJ77" i="6"/>
  <c r="AP77" i="6" s="1"/>
  <c r="AN74" i="6"/>
  <c r="AK74" i="6"/>
  <c r="AO74" i="6" s="1"/>
  <c r="AJ74" i="6"/>
  <c r="AP74" i="6" s="1"/>
  <c r="AO71" i="6"/>
  <c r="AN71" i="6"/>
  <c r="AK71" i="6"/>
  <c r="AJ71" i="6"/>
  <c r="AP71" i="6" s="1"/>
  <c r="AN68" i="6"/>
  <c r="AK68" i="6"/>
  <c r="AO68" i="6" s="1"/>
  <c r="AJ68" i="6"/>
  <c r="AP68" i="6" s="1"/>
  <c r="AO65" i="6"/>
  <c r="AK65" i="6"/>
  <c r="AJ65" i="6"/>
  <c r="AN65" i="6" s="1"/>
  <c r="AK62" i="6"/>
  <c r="AO62" i="6" s="1"/>
  <c r="AJ62" i="6"/>
  <c r="AP62" i="6" s="1"/>
  <c r="AO59" i="6"/>
  <c r="AK59" i="6"/>
  <c r="AJ59" i="6"/>
  <c r="AP59" i="6" s="1"/>
  <c r="AP56" i="6"/>
  <c r="AK56" i="6"/>
  <c r="AO56" i="6" s="1"/>
  <c r="AJ56" i="6"/>
  <c r="AN56" i="6" s="1"/>
  <c r="AO53" i="6"/>
  <c r="AN53" i="6"/>
  <c r="AK53" i="6"/>
  <c r="AJ53" i="6"/>
  <c r="AP53" i="6" s="1"/>
  <c r="AK50" i="6"/>
  <c r="AO50" i="6" s="1"/>
  <c r="AJ50" i="6"/>
  <c r="AP50" i="6" s="1"/>
  <c r="AO47" i="6"/>
  <c r="AK47" i="6"/>
  <c r="AJ47" i="6"/>
  <c r="AP47" i="6" s="1"/>
  <c r="AK44" i="6"/>
  <c r="AO44" i="6" s="1"/>
  <c r="AJ44" i="6"/>
  <c r="AP44" i="6" s="1"/>
  <c r="AO41" i="6"/>
  <c r="AK41" i="6"/>
  <c r="AJ41" i="6"/>
  <c r="AN41" i="6" s="1"/>
  <c r="AK38" i="6"/>
  <c r="AO38" i="6" s="1"/>
  <c r="AJ38" i="6"/>
  <c r="AP38" i="6" s="1"/>
  <c r="AO35" i="6"/>
  <c r="AK35" i="6"/>
  <c r="AJ35" i="6"/>
  <c r="AP35" i="6" s="1"/>
  <c r="AK32" i="6"/>
  <c r="AO32" i="6" s="1"/>
  <c r="AJ32" i="6"/>
  <c r="AN32" i="6" s="1"/>
  <c r="AO29" i="6"/>
  <c r="AK29" i="6"/>
  <c r="AJ29" i="6"/>
  <c r="AP29" i="6" s="1"/>
  <c r="AN26" i="6"/>
  <c r="AK26" i="6"/>
  <c r="AO26" i="6" s="1"/>
  <c r="AJ26" i="6"/>
  <c r="AP26" i="6" s="1"/>
  <c r="AO23" i="6"/>
  <c r="AN23" i="6"/>
  <c r="AK23" i="6"/>
  <c r="AJ23" i="6"/>
  <c r="AP23" i="6" s="1"/>
  <c r="AN20" i="6"/>
  <c r="AK20" i="6"/>
  <c r="AO20" i="6" s="1"/>
  <c r="AJ20" i="6"/>
  <c r="AP20" i="6" s="1"/>
  <c r="AO17" i="6"/>
  <c r="AK17" i="6"/>
  <c r="AJ17" i="6"/>
  <c r="AN17" i="6" s="1"/>
  <c r="AK14" i="6"/>
  <c r="AO14" i="6" s="1"/>
  <c r="AJ14" i="6"/>
  <c r="AP14" i="6" s="1"/>
  <c r="AO11" i="6"/>
  <c r="AK11" i="6"/>
  <c r="AJ11" i="6"/>
  <c r="AP11" i="6" s="1"/>
  <c r="AP8" i="6"/>
  <c r="AK8" i="6"/>
  <c r="AO8" i="6" s="1"/>
  <c r="AJ8" i="6"/>
  <c r="AN8" i="6" s="1"/>
  <c r="A8" i="6"/>
  <c r="A11" i="6" s="1"/>
  <c r="A14" i="6" s="1"/>
  <c r="A17" i="6" s="1"/>
  <c r="A20" i="6" s="1"/>
  <c r="A23" i="6" s="1"/>
  <c r="A26" i="6" s="1"/>
  <c r="A29" i="6" s="1"/>
  <c r="A32" i="6" s="1"/>
  <c r="A35" i="6" s="1"/>
  <c r="A38" i="6" s="1"/>
  <c r="A41" i="6" s="1"/>
  <c r="A44" i="6" s="1"/>
  <c r="A47" i="6" s="1"/>
  <c r="A50" i="6" s="1"/>
  <c r="A53" i="6" s="1"/>
  <c r="A56" i="6" s="1"/>
  <c r="A59" i="6" s="1"/>
  <c r="A62" i="6" s="1"/>
  <c r="A65" i="6" s="1"/>
  <c r="A68" i="6" s="1"/>
  <c r="A71" i="6" s="1"/>
  <c r="A74" i="6" s="1"/>
  <c r="A77" i="6" s="1"/>
  <c r="A80" i="6" s="1"/>
  <c r="A83" i="6" s="1"/>
  <c r="A86" i="6" s="1"/>
  <c r="A89" i="6" s="1"/>
  <c r="A92" i="6" s="1"/>
  <c r="A95" i="6" s="1"/>
  <c r="A98" i="6" s="1"/>
  <c r="A101" i="6" s="1"/>
  <c r="A104" i="6" s="1"/>
  <c r="A107" i="6" s="1"/>
  <c r="A110" i="6" s="1"/>
  <c r="A113" i="6" s="1"/>
  <c r="A116" i="6" s="1"/>
  <c r="A119" i="6" s="1"/>
  <c r="A122" i="6" s="1"/>
  <c r="A125" i="6" s="1"/>
  <c r="AN5" i="6"/>
  <c r="AK5" i="6"/>
  <c r="AO5" i="6" s="1"/>
  <c r="AJ5" i="6"/>
  <c r="AP5" i="6" s="1"/>
  <c r="AJ140" i="1"/>
  <c r="AN140" i="1" s="1"/>
  <c r="AK140" i="1"/>
  <c r="AO140" i="1"/>
  <c r="AJ146" i="1"/>
  <c r="AK146" i="1"/>
  <c r="AO146" i="1" s="1"/>
  <c r="AN146" i="1"/>
  <c r="AJ152" i="1"/>
  <c r="AN152" i="1" s="1"/>
  <c r="AK152" i="1"/>
  <c r="AO152" i="1"/>
  <c r="AJ149" i="1"/>
  <c r="AN149" i="1" s="1"/>
  <c r="AK149" i="1"/>
  <c r="AO149" i="1" s="1"/>
  <c r="AJ236" i="1"/>
  <c r="AN236" i="1" s="1"/>
  <c r="AK236" i="1"/>
  <c r="AO236" i="1" s="1"/>
  <c r="AJ128" i="1"/>
  <c r="AN128" i="1" s="1"/>
  <c r="AK128" i="1"/>
  <c r="AO128" i="1" s="1"/>
  <c r="AJ86" i="1"/>
  <c r="AN86" i="1" s="1"/>
  <c r="AK86" i="1"/>
  <c r="AO86" i="1" s="1"/>
  <c r="AJ89" i="1"/>
  <c r="AN89" i="1" s="1"/>
  <c r="AK89" i="1"/>
  <c r="AO89" i="1" s="1"/>
  <c r="AJ92" i="1"/>
  <c r="AN92" i="1" s="1"/>
  <c r="AK92" i="1"/>
  <c r="AO92" i="1" s="1"/>
  <c r="AJ95" i="1"/>
  <c r="AN95" i="1" s="1"/>
  <c r="AK95" i="1"/>
  <c r="AO95" i="1" s="1"/>
  <c r="AJ98" i="1"/>
  <c r="AN98" i="1" s="1"/>
  <c r="AK98" i="1"/>
  <c r="AO98" i="1" s="1"/>
  <c r="AJ101" i="1"/>
  <c r="AN101" i="1" s="1"/>
  <c r="AK101" i="1"/>
  <c r="AO101" i="1" s="1"/>
  <c r="AJ104" i="1"/>
  <c r="AN104" i="1" s="1"/>
  <c r="AK104" i="1"/>
  <c r="AO104" i="1" s="1"/>
  <c r="AJ107" i="1"/>
  <c r="AK107" i="1"/>
  <c r="AO107" i="1" s="1"/>
  <c r="AJ110" i="1"/>
  <c r="AN110" i="1" s="1"/>
  <c r="AK110" i="1"/>
  <c r="AO110" i="1" s="1"/>
  <c r="AJ113" i="1"/>
  <c r="AN113" i="1" s="1"/>
  <c r="AK113" i="1"/>
  <c r="AO113" i="1" s="1"/>
  <c r="AJ116" i="1"/>
  <c r="AN116" i="1" s="1"/>
  <c r="AK116" i="1"/>
  <c r="AO116" i="1" s="1"/>
  <c r="AJ119" i="1"/>
  <c r="AN119" i="1" s="1"/>
  <c r="AK119" i="1"/>
  <c r="AO119" i="1" s="1"/>
  <c r="AJ122" i="1"/>
  <c r="AN122" i="1" s="1"/>
  <c r="AK122" i="1"/>
  <c r="AO122" i="1" s="1"/>
  <c r="AJ125" i="1"/>
  <c r="AN125" i="1" s="1"/>
  <c r="AK125" i="1"/>
  <c r="AO125" i="1" s="1"/>
  <c r="AJ131" i="1"/>
  <c r="AN131" i="1" s="1"/>
  <c r="AK131" i="1"/>
  <c r="AO131" i="1" s="1"/>
  <c r="AJ134" i="1"/>
  <c r="AK134" i="1"/>
  <c r="AO134" i="1" s="1"/>
  <c r="AJ137" i="1"/>
  <c r="AN137" i="1" s="1"/>
  <c r="AK137" i="1"/>
  <c r="AO137" i="1" s="1"/>
  <c r="AJ143" i="1"/>
  <c r="AN143" i="1" s="1"/>
  <c r="AK143" i="1"/>
  <c r="AO143" i="1" s="1"/>
  <c r="AJ155" i="1"/>
  <c r="AN155" i="1" s="1"/>
  <c r="AK155" i="1"/>
  <c r="AO155" i="1" s="1"/>
  <c r="AJ161" i="1"/>
  <c r="AN161" i="1" s="1"/>
  <c r="AK161" i="1"/>
  <c r="AO161" i="1" s="1"/>
  <c r="AJ170" i="1"/>
  <c r="AN170" i="1" s="1"/>
  <c r="AK170" i="1"/>
  <c r="AO170" i="1" s="1"/>
  <c r="AJ173" i="1"/>
  <c r="AN173" i="1" s="1"/>
  <c r="AK173" i="1"/>
  <c r="AO173" i="1" s="1"/>
  <c r="AJ176" i="1"/>
  <c r="AN176" i="1" s="1"/>
  <c r="AK176" i="1"/>
  <c r="AO176" i="1" s="1"/>
  <c r="AJ179" i="1"/>
  <c r="AN179" i="1" s="1"/>
  <c r="AK179" i="1"/>
  <c r="AO179" i="1" s="1"/>
  <c r="AJ182" i="1"/>
  <c r="AN182" i="1" s="1"/>
  <c r="AK182" i="1"/>
  <c r="AO182" i="1" s="1"/>
  <c r="AJ185" i="1"/>
  <c r="AN185" i="1" s="1"/>
  <c r="AK185" i="1"/>
  <c r="AO185" i="1" s="1"/>
  <c r="AJ188" i="1"/>
  <c r="AN188" i="1" s="1"/>
  <c r="AK188" i="1"/>
  <c r="AO188" i="1" s="1"/>
  <c r="AJ191" i="1"/>
  <c r="AK191" i="1"/>
  <c r="AO191" i="1"/>
  <c r="AJ194" i="1"/>
  <c r="AN194" i="1" s="1"/>
  <c r="AK194" i="1"/>
  <c r="AO194" i="1" s="1"/>
  <c r="AJ197" i="1"/>
  <c r="AN197" i="1" s="1"/>
  <c r="AK197" i="1"/>
  <c r="AO197" i="1" s="1"/>
  <c r="AJ200" i="1"/>
  <c r="AN200" i="1" s="1"/>
  <c r="AK200" i="1"/>
  <c r="AO200" i="1" s="1"/>
  <c r="AJ203" i="1"/>
  <c r="AN203" i="1" s="1"/>
  <c r="AK203" i="1"/>
  <c r="AO203" i="1" s="1"/>
  <c r="AJ206" i="1"/>
  <c r="AK206" i="1"/>
  <c r="AO206" i="1" s="1"/>
  <c r="AJ209" i="1"/>
  <c r="AN209" i="1" s="1"/>
  <c r="AK209" i="1"/>
  <c r="AO209" i="1" s="1"/>
  <c r="AJ212" i="1"/>
  <c r="AN212" i="1" s="1"/>
  <c r="AK212" i="1"/>
  <c r="AO212" i="1" s="1"/>
  <c r="AJ215" i="1"/>
  <c r="AK215" i="1"/>
  <c r="AO215" i="1" s="1"/>
  <c r="AJ218" i="1"/>
  <c r="AK218" i="1"/>
  <c r="AO218" i="1" s="1"/>
  <c r="AJ221" i="1"/>
  <c r="AN221" i="1" s="1"/>
  <c r="AK221" i="1"/>
  <c r="AO221" i="1" s="1"/>
  <c r="AJ224" i="1"/>
  <c r="AN224" i="1" s="1"/>
  <c r="AK224" i="1"/>
  <c r="AO224" i="1" s="1"/>
  <c r="AJ227" i="1"/>
  <c r="AN227" i="1" s="1"/>
  <c r="AK227" i="1"/>
  <c r="AO227" i="1" s="1"/>
  <c r="AJ230" i="1"/>
  <c r="AN230" i="1" s="1"/>
  <c r="AK230" i="1"/>
  <c r="AO230" i="1" s="1"/>
  <c r="AK233" i="1"/>
  <c r="AO233" i="1" s="1"/>
  <c r="AJ233" i="1"/>
  <c r="AN62" i="7" l="1"/>
  <c r="AP59" i="7"/>
  <c r="AN56" i="7"/>
  <c r="AP53" i="7"/>
  <c r="AN47" i="7"/>
  <c r="AN23" i="7"/>
  <c r="AN20" i="7"/>
  <c r="AN11" i="7"/>
  <c r="AO5" i="8"/>
  <c r="AO239" i="8" s="1"/>
  <c r="AP5" i="8"/>
  <c r="AN8" i="8"/>
  <c r="A128" i="8"/>
  <c r="A131" i="8"/>
  <c r="A134" i="8" s="1"/>
  <c r="A137" i="8" s="1"/>
  <c r="A143" i="8" s="1"/>
  <c r="AP143" i="8"/>
  <c r="AP149" i="8"/>
  <c r="AP155" i="8"/>
  <c r="AP11" i="8"/>
  <c r="AP239" i="8" s="1"/>
  <c r="AP17" i="8"/>
  <c r="AP23" i="8"/>
  <c r="AP29" i="8"/>
  <c r="AP35" i="8"/>
  <c r="AP41" i="8"/>
  <c r="AP47" i="8"/>
  <c r="AP53" i="8"/>
  <c r="AP59" i="8"/>
  <c r="AP65" i="8"/>
  <c r="AP71" i="8"/>
  <c r="AP77" i="8"/>
  <c r="AP83" i="8"/>
  <c r="AP89" i="8"/>
  <c r="AP95" i="8"/>
  <c r="AP101" i="8"/>
  <c r="AP107" i="8"/>
  <c r="AP113" i="8"/>
  <c r="AP119" i="8"/>
  <c r="AP125" i="8"/>
  <c r="AP131" i="8"/>
  <c r="AP137" i="8"/>
  <c r="AP167" i="8"/>
  <c r="AP173" i="8"/>
  <c r="AP179" i="8"/>
  <c r="AP185" i="8"/>
  <c r="AN188" i="8"/>
  <c r="AP188" i="8"/>
  <c r="AP209" i="8"/>
  <c r="AP233" i="8"/>
  <c r="AJ239" i="8"/>
  <c r="AP197" i="8"/>
  <c r="AP221" i="8"/>
  <c r="AP200" i="8"/>
  <c r="AP212" i="8"/>
  <c r="AP218" i="8"/>
  <c r="AP224" i="8"/>
  <c r="AP230" i="8"/>
  <c r="AP236" i="8"/>
  <c r="AP194" i="8"/>
  <c r="AP206" i="8"/>
  <c r="AP140" i="1"/>
  <c r="AJ239" i="7"/>
  <c r="A131" i="7"/>
  <c r="A134" i="7" s="1"/>
  <c r="A137" i="7" s="1"/>
  <c r="A143" i="7" s="1"/>
  <c r="A128" i="7"/>
  <c r="AO239" i="7"/>
  <c r="AN14" i="7"/>
  <c r="AN26" i="7"/>
  <c r="AN38" i="7"/>
  <c r="AN50" i="7"/>
  <c r="AP83" i="7"/>
  <c r="AP101" i="7"/>
  <c r="AP119" i="7"/>
  <c r="AP152" i="7"/>
  <c r="AP164" i="7"/>
  <c r="AP188" i="7"/>
  <c r="AP212" i="7"/>
  <c r="AP236" i="7"/>
  <c r="AN5" i="7"/>
  <c r="AN29" i="7"/>
  <c r="AN41" i="7"/>
  <c r="AN53" i="7"/>
  <c r="AP146" i="7"/>
  <c r="AN17" i="7"/>
  <c r="AP95" i="7"/>
  <c r="AP107" i="7"/>
  <c r="AP131" i="7"/>
  <c r="AP176" i="7"/>
  <c r="AP200" i="7"/>
  <c r="AP224" i="7"/>
  <c r="AK239" i="7"/>
  <c r="AN77" i="7"/>
  <c r="AN89" i="7"/>
  <c r="AN95" i="7"/>
  <c r="AP98" i="7"/>
  <c r="AN101" i="7"/>
  <c r="AP104" i="7"/>
  <c r="AP110" i="7"/>
  <c r="AP116" i="7"/>
  <c r="AP122" i="7"/>
  <c r="AP128" i="7"/>
  <c r="AP134" i="7"/>
  <c r="AP167" i="7"/>
  <c r="AP173" i="7"/>
  <c r="AP179" i="7"/>
  <c r="AP185" i="7"/>
  <c r="AP191" i="7"/>
  <c r="AP197" i="7"/>
  <c r="AP203" i="7"/>
  <c r="AP209" i="7"/>
  <c r="AP215" i="7"/>
  <c r="AP221" i="7"/>
  <c r="AP227" i="7"/>
  <c r="AP233" i="7"/>
  <c r="AN83" i="7"/>
  <c r="AN44" i="6"/>
  <c r="AN47" i="6"/>
  <c r="AN50" i="6"/>
  <c r="AN92" i="6"/>
  <c r="AN95" i="6"/>
  <c r="AP98" i="6"/>
  <c r="AN107" i="6"/>
  <c r="AN125" i="6"/>
  <c r="AN137" i="6"/>
  <c r="AN140" i="6"/>
  <c r="AN152" i="6"/>
  <c r="AN164" i="6"/>
  <c r="AP167" i="6"/>
  <c r="AN182" i="6"/>
  <c r="AN200" i="6"/>
  <c r="AN29" i="6"/>
  <c r="AP32" i="6"/>
  <c r="AN77" i="6"/>
  <c r="AP80" i="6"/>
  <c r="AN119" i="6"/>
  <c r="AP122" i="6"/>
  <c r="AN194" i="6"/>
  <c r="AP197" i="6"/>
  <c r="AP17" i="6"/>
  <c r="AP41" i="6"/>
  <c r="AP65" i="6"/>
  <c r="AP89" i="6"/>
  <c r="AN11" i="6"/>
  <c r="AN35" i="6"/>
  <c r="AN59" i="6"/>
  <c r="AN83" i="6"/>
  <c r="AP110" i="6"/>
  <c r="AP134" i="6"/>
  <c r="AP146" i="6"/>
  <c r="AP185" i="6"/>
  <c r="AP209" i="6"/>
  <c r="AP233" i="6"/>
  <c r="AJ239" i="6"/>
  <c r="AN14" i="6"/>
  <c r="AN38" i="6"/>
  <c r="AN62" i="6"/>
  <c r="AN86" i="6"/>
  <c r="AN101" i="6"/>
  <c r="AP104" i="6"/>
  <c r="AP128" i="6"/>
  <c r="AP179" i="6"/>
  <c r="AP203" i="6"/>
  <c r="AP227" i="6"/>
  <c r="A131" i="6"/>
  <c r="A134" i="6" s="1"/>
  <c r="A137" i="6" s="1"/>
  <c r="A143" i="6" s="1"/>
  <c r="A128" i="6"/>
  <c r="AO239" i="6"/>
  <c r="AP158" i="6"/>
  <c r="AN143" i="6"/>
  <c r="AN149" i="6"/>
  <c r="AN155" i="6"/>
  <c r="AK239" i="6"/>
  <c r="AP191" i="1"/>
  <c r="AP146" i="1"/>
  <c r="AP107" i="1"/>
  <c r="AP152" i="1"/>
  <c r="AP233" i="1"/>
  <c r="AP128" i="1"/>
  <c r="AP149" i="1"/>
  <c r="AP137" i="1"/>
  <c r="AP86" i="1"/>
  <c r="AP218" i="1"/>
  <c r="AP236" i="1"/>
  <c r="AP122" i="1"/>
  <c r="AP110" i="1"/>
  <c r="AN218" i="1"/>
  <c r="AP170" i="1"/>
  <c r="AP134" i="1"/>
  <c r="AP98" i="1"/>
  <c r="AP206" i="1"/>
  <c r="AP161" i="1"/>
  <c r="AP119" i="1"/>
  <c r="AP95" i="1"/>
  <c r="AP131" i="1"/>
  <c r="AP92" i="1"/>
  <c r="AP143" i="1"/>
  <c r="AN134" i="1"/>
  <c r="AP125" i="1"/>
  <c r="AP113" i="1"/>
  <c r="AN107" i="1"/>
  <c r="AP101" i="1"/>
  <c r="AP89" i="1"/>
  <c r="AP155" i="1"/>
  <c r="AP116" i="1"/>
  <c r="AP104" i="1"/>
  <c r="AP230" i="1"/>
  <c r="AP215" i="1"/>
  <c r="AN206" i="1"/>
  <c r="AP182" i="1"/>
  <c r="AP194" i="1"/>
  <c r="AP227" i="1"/>
  <c r="AP203" i="1"/>
  <c r="AP179" i="1"/>
  <c r="AP212" i="1"/>
  <c r="AP188" i="1"/>
  <c r="AP221" i="1"/>
  <c r="AN215" i="1"/>
  <c r="AP209" i="1"/>
  <c r="AP197" i="1"/>
  <c r="AN191" i="1"/>
  <c r="AP185" i="1"/>
  <c r="AP173" i="1"/>
  <c r="AP224" i="1"/>
  <c r="AP200" i="1"/>
  <c r="AP176" i="1"/>
  <c r="AN233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AK239" i="1"/>
  <c r="AO239" i="1" s="1"/>
  <c r="AJ239" i="1"/>
  <c r="AK167" i="1"/>
  <c r="AO167" i="1" s="1"/>
  <c r="AJ167" i="1"/>
  <c r="AN167" i="1" s="1"/>
  <c r="AK164" i="1"/>
  <c r="AO164" i="1" s="1"/>
  <c r="AJ164" i="1"/>
  <c r="AN164" i="1" s="1"/>
  <c r="AK83" i="1"/>
  <c r="AO83" i="1" s="1"/>
  <c r="AJ83" i="1"/>
  <c r="AK80" i="1"/>
  <c r="AO80" i="1" s="1"/>
  <c r="AJ80" i="1"/>
  <c r="AN80" i="1" s="1"/>
  <c r="AK77" i="1"/>
  <c r="AO77" i="1" s="1"/>
  <c r="AJ77" i="1"/>
  <c r="AK74" i="1"/>
  <c r="AO74" i="1" s="1"/>
  <c r="AJ74" i="1"/>
  <c r="AN74" i="1" s="1"/>
  <c r="AK71" i="1"/>
  <c r="AO71" i="1" s="1"/>
  <c r="AJ71" i="1"/>
  <c r="AN71" i="1" s="1"/>
  <c r="AK68" i="1"/>
  <c r="AO68" i="1" s="1"/>
  <c r="AJ68" i="1"/>
  <c r="AN68" i="1" s="1"/>
  <c r="AK65" i="1"/>
  <c r="AO65" i="1" s="1"/>
  <c r="AJ65" i="1"/>
  <c r="AK62" i="1"/>
  <c r="AO62" i="1" s="1"/>
  <c r="AJ62" i="1"/>
  <c r="AN62" i="1" s="1"/>
  <c r="AK59" i="1"/>
  <c r="AO59" i="1" s="1"/>
  <c r="AJ59" i="1"/>
  <c r="AN59" i="1" s="1"/>
  <c r="AK56" i="1"/>
  <c r="AO56" i="1" s="1"/>
  <c r="AJ56" i="1"/>
  <c r="AN56" i="1" s="1"/>
  <c r="AK53" i="1"/>
  <c r="AO53" i="1" s="1"/>
  <c r="AJ53" i="1"/>
  <c r="AK50" i="1"/>
  <c r="AO50" i="1" s="1"/>
  <c r="AJ50" i="1"/>
  <c r="AN50" i="1" s="1"/>
  <c r="AK47" i="1"/>
  <c r="AO47" i="1" s="1"/>
  <c r="AJ47" i="1"/>
  <c r="AN47" i="1" s="1"/>
  <c r="AK44" i="1"/>
  <c r="AO44" i="1" s="1"/>
  <c r="AJ44" i="1"/>
  <c r="AN44" i="1" s="1"/>
  <c r="AK41" i="1"/>
  <c r="AO41" i="1" s="1"/>
  <c r="AJ41" i="1"/>
  <c r="AK38" i="1"/>
  <c r="AO38" i="1" s="1"/>
  <c r="AJ38" i="1"/>
  <c r="AN38" i="1" s="1"/>
  <c r="AK35" i="1"/>
  <c r="AO35" i="1" s="1"/>
  <c r="AJ35" i="1"/>
  <c r="AN35" i="1" s="1"/>
  <c r="AK32" i="1"/>
  <c r="AO32" i="1" s="1"/>
  <c r="AJ32" i="1"/>
  <c r="AN32" i="1" s="1"/>
  <c r="AK29" i="1"/>
  <c r="AO29" i="1" s="1"/>
  <c r="AJ29" i="1"/>
  <c r="AK26" i="1"/>
  <c r="AO26" i="1" s="1"/>
  <c r="AJ26" i="1"/>
  <c r="AK23" i="1"/>
  <c r="AO23" i="1" s="1"/>
  <c r="AJ23" i="1"/>
  <c r="AN23" i="1" s="1"/>
  <c r="AK20" i="1"/>
  <c r="AO20" i="1" s="1"/>
  <c r="AJ20" i="1"/>
  <c r="AN20" i="1" s="1"/>
  <c r="AK17" i="1"/>
  <c r="AO17" i="1" s="1"/>
  <c r="AJ17" i="1"/>
  <c r="AK14" i="1"/>
  <c r="AO14" i="1" s="1"/>
  <c r="AJ14" i="1"/>
  <c r="AN14" i="1" s="1"/>
  <c r="AK11" i="1"/>
  <c r="AO11" i="1" s="1"/>
  <c r="AJ11" i="1"/>
  <c r="AN11" i="1" s="1"/>
  <c r="AK8" i="1"/>
  <c r="AO8" i="1" s="1"/>
  <c r="AJ8" i="1"/>
  <c r="AN8" i="1" s="1"/>
  <c r="A8" i="1"/>
  <c r="A11" i="1" s="1"/>
  <c r="A14" i="1" s="1"/>
  <c r="A17" i="1" s="1"/>
  <c r="A20" i="1" s="1"/>
  <c r="A23" i="1" s="1"/>
  <c r="A26" i="1" s="1"/>
  <c r="A29" i="1" s="1"/>
  <c r="A32" i="1" s="1"/>
  <c r="A35" i="1" s="1"/>
  <c r="A38" i="1" s="1"/>
  <c r="A41" i="1" s="1"/>
  <c r="A44" i="1" s="1"/>
  <c r="A47" i="1" s="1"/>
  <c r="A50" i="1" s="1"/>
  <c r="A53" i="1" s="1"/>
  <c r="A56" i="1" s="1"/>
  <c r="A59" i="1" s="1"/>
  <c r="A62" i="1" s="1"/>
  <c r="A65" i="1" s="1"/>
  <c r="A68" i="1" s="1"/>
  <c r="A71" i="1" s="1"/>
  <c r="A74" i="1" s="1"/>
  <c r="A77" i="1" s="1"/>
  <c r="A80" i="1" s="1"/>
  <c r="A83" i="1" s="1"/>
  <c r="A86" i="1" s="1"/>
  <c r="A89" i="1" s="1"/>
  <c r="A92" i="1" s="1"/>
  <c r="A95" i="1" s="1"/>
  <c r="A98" i="1" s="1"/>
  <c r="A101" i="1" s="1"/>
  <c r="A104" i="1" s="1"/>
  <c r="A107" i="1" s="1"/>
  <c r="A110" i="1" s="1"/>
  <c r="A113" i="1" s="1"/>
  <c r="A116" i="1" s="1"/>
  <c r="A119" i="1" s="1"/>
  <c r="A122" i="1" s="1"/>
  <c r="A125" i="1" s="1"/>
  <c r="A128" i="1" s="1"/>
  <c r="A131" i="1" s="1"/>
  <c r="A134" i="1" s="1"/>
  <c r="A137" i="1" s="1"/>
  <c r="A140" i="1" s="1"/>
  <c r="A143" i="1" s="1"/>
  <c r="A146" i="1" s="1"/>
  <c r="A149" i="1" s="1"/>
  <c r="A152" i="1" s="1"/>
  <c r="A155" i="1" s="1"/>
  <c r="A161" i="1" s="1"/>
  <c r="A164" i="1" s="1"/>
  <c r="A167" i="1" s="1"/>
  <c r="A170" i="1" s="1"/>
  <c r="A173" i="1" s="1"/>
  <c r="A176" i="1" s="1"/>
  <c r="A179" i="1" s="1"/>
  <c r="A182" i="1" s="1"/>
  <c r="A185" i="1" s="1"/>
  <c r="A188" i="1" s="1"/>
  <c r="A191" i="1" s="1"/>
  <c r="A194" i="1" s="1"/>
  <c r="A197" i="1" s="1"/>
  <c r="A200" i="1" s="1"/>
  <c r="A203" i="1" s="1"/>
  <c r="A206" i="1" s="1"/>
  <c r="A209" i="1" s="1"/>
  <c r="A212" i="1" s="1"/>
  <c r="A215" i="1" s="1"/>
  <c r="A218" i="1" s="1"/>
  <c r="A221" i="1" s="1"/>
  <c r="A224" i="1" s="1"/>
  <c r="A227" i="1" s="1"/>
  <c r="A230" i="1" s="1"/>
  <c r="A233" i="1" s="1"/>
  <c r="A236" i="1" s="1"/>
  <c r="A239" i="1" s="1"/>
  <c r="AK5" i="1"/>
  <c r="AJ5" i="1"/>
  <c r="AN5" i="1" s="1"/>
  <c r="AP239" i="7" l="1"/>
  <c r="AN239" i="8"/>
  <c r="A155" i="8"/>
  <c r="A158" i="8" s="1"/>
  <c r="A161" i="8" s="1"/>
  <c r="A164" i="8" s="1"/>
  <c r="A167" i="8" s="1"/>
  <c r="A170" i="8" s="1"/>
  <c r="A173" i="8" s="1"/>
  <c r="A176" i="8" s="1"/>
  <c r="A179" i="8" s="1"/>
  <c r="A182" i="8" s="1"/>
  <c r="A185" i="8" s="1"/>
  <c r="A188" i="8" s="1"/>
  <c r="A191" i="8" s="1"/>
  <c r="A194" i="8" s="1"/>
  <c r="A197" i="8" s="1"/>
  <c r="A200" i="8" s="1"/>
  <c r="A203" i="8" s="1"/>
  <c r="A206" i="8" s="1"/>
  <c r="A209" i="8" s="1"/>
  <c r="A212" i="8" s="1"/>
  <c r="A215" i="8" s="1"/>
  <c r="A218" i="8" s="1"/>
  <c r="A221" i="8" s="1"/>
  <c r="A224" i="8" s="1"/>
  <c r="A227" i="8" s="1"/>
  <c r="A230" i="8" s="1"/>
  <c r="A233" i="8" s="1"/>
  <c r="A236" i="8" s="1"/>
  <c r="A149" i="8"/>
  <c r="A152" i="8" s="1"/>
  <c r="A146" i="8"/>
  <c r="AN239" i="7"/>
  <c r="A146" i="7"/>
  <c r="A155" i="7"/>
  <c r="A158" i="7" s="1"/>
  <c r="A161" i="7" s="1"/>
  <c r="A164" i="7" s="1"/>
  <c r="A167" i="7" s="1"/>
  <c r="A170" i="7" s="1"/>
  <c r="A173" i="7" s="1"/>
  <c r="A176" i="7" s="1"/>
  <c r="A179" i="7" s="1"/>
  <c r="A182" i="7" s="1"/>
  <c r="A185" i="7" s="1"/>
  <c r="A188" i="7" s="1"/>
  <c r="A191" i="7" s="1"/>
  <c r="A194" i="7" s="1"/>
  <c r="A197" i="7" s="1"/>
  <c r="A200" i="7" s="1"/>
  <c r="A203" i="7" s="1"/>
  <c r="A206" i="7" s="1"/>
  <c r="A209" i="7" s="1"/>
  <c r="A212" i="7" s="1"/>
  <c r="A215" i="7" s="1"/>
  <c r="A218" i="7" s="1"/>
  <c r="A221" i="7" s="1"/>
  <c r="A224" i="7" s="1"/>
  <c r="A227" i="7" s="1"/>
  <c r="A230" i="7" s="1"/>
  <c r="A233" i="7" s="1"/>
  <c r="A236" i="7" s="1"/>
  <c r="A149" i="7"/>
  <c r="A152" i="7" s="1"/>
  <c r="AN239" i="6"/>
  <c r="AP239" i="6"/>
  <c r="A146" i="6"/>
  <c r="A155" i="6"/>
  <c r="A158" i="6" s="1"/>
  <c r="A161" i="6" s="1"/>
  <c r="A164" i="6" s="1"/>
  <c r="A167" i="6" s="1"/>
  <c r="A170" i="6" s="1"/>
  <c r="A173" i="6" s="1"/>
  <c r="A176" i="6" s="1"/>
  <c r="A179" i="6" s="1"/>
  <c r="A182" i="6" s="1"/>
  <c r="A185" i="6" s="1"/>
  <c r="A188" i="6" s="1"/>
  <c r="A191" i="6" s="1"/>
  <c r="A194" i="6" s="1"/>
  <c r="A197" i="6" s="1"/>
  <c r="A200" i="6" s="1"/>
  <c r="A203" i="6" s="1"/>
  <c r="A206" i="6" s="1"/>
  <c r="A209" i="6" s="1"/>
  <c r="A212" i="6" s="1"/>
  <c r="A215" i="6" s="1"/>
  <c r="A218" i="6" s="1"/>
  <c r="A221" i="6" s="1"/>
  <c r="A224" i="6" s="1"/>
  <c r="A227" i="6" s="1"/>
  <c r="A230" i="6" s="1"/>
  <c r="A233" i="6" s="1"/>
  <c r="A236" i="6" s="1"/>
  <c r="A149" i="6"/>
  <c r="A152" i="6" s="1"/>
  <c r="AP239" i="1"/>
  <c r="AP41" i="1"/>
  <c r="AP17" i="1"/>
  <c r="AP65" i="1"/>
  <c r="AK242" i="1"/>
  <c r="AP29" i="1"/>
  <c r="AP53" i="1"/>
  <c r="AP77" i="1"/>
  <c r="AJ242" i="1"/>
  <c r="AO5" i="1"/>
  <c r="AP5" i="1"/>
  <c r="AP11" i="1"/>
  <c r="AN17" i="1"/>
  <c r="AP23" i="1"/>
  <c r="AP26" i="1"/>
  <c r="AN29" i="1"/>
  <c r="AP35" i="1"/>
  <c r="AN41" i="1"/>
  <c r="AP47" i="1"/>
  <c r="AN53" i="1"/>
  <c r="AP59" i="1"/>
  <c r="AN65" i="1"/>
  <c r="AP71" i="1"/>
  <c r="AN77" i="1"/>
  <c r="AP83" i="1"/>
  <c r="AO242" i="1"/>
  <c r="AP14" i="1"/>
  <c r="AP32" i="1"/>
  <c r="AP38" i="1"/>
  <c r="AP44" i="1"/>
  <c r="AP50" i="1"/>
  <c r="AP56" i="1"/>
  <c r="AP62" i="1"/>
  <c r="AP68" i="1"/>
  <c r="AP74" i="1"/>
  <c r="AP80" i="1"/>
  <c r="AN83" i="1"/>
  <c r="AP167" i="1"/>
  <c r="AN239" i="1"/>
  <c r="AP8" i="1"/>
  <c r="AP20" i="1"/>
  <c r="AN26" i="1"/>
  <c r="AP242" i="1" l="1"/>
  <c r="AN242" i="1"/>
</calcChain>
</file>

<file path=xl/sharedStrings.xml><?xml version="1.0" encoding="utf-8"?>
<sst xmlns="http://schemas.openxmlformats.org/spreadsheetml/2006/main" count="3077" uniqueCount="171">
  <si>
    <t>PT ALONG MEGA PERSADA</t>
  </si>
  <si>
    <t>AREA</t>
  </si>
  <si>
    <t>: MR HE CHUAN</t>
  </si>
  <si>
    <r>
      <rPr>
        <b/>
        <sz val="16"/>
        <color theme="1"/>
        <rFont val="NarROW"/>
        <charset val="1"/>
      </rPr>
      <t xml:space="preserve">                                                                                                            </t>
    </r>
    <r>
      <rPr>
        <b/>
        <u/>
        <sz val="16"/>
        <color theme="1"/>
        <rFont val="NarROW"/>
        <charset val="1"/>
      </rPr>
      <t>ABSEN BULAN JUNI/6 2026</t>
    </r>
    <r>
      <rPr>
        <b/>
        <sz val="16"/>
        <color theme="1"/>
        <rFont val="NarROW"/>
        <charset val="1"/>
      </rPr>
      <t xml:space="preserve"> . </t>
    </r>
  </si>
  <si>
    <t>PENGAWAS</t>
  </si>
  <si>
    <t>No.</t>
  </si>
  <si>
    <t>NAMA姓名</t>
  </si>
  <si>
    <t>JABATAN 职位</t>
  </si>
  <si>
    <t>WAKTU时间</t>
  </si>
  <si>
    <t>TANGGAL日期</t>
  </si>
  <si>
    <t>TOTAL 总日数</t>
  </si>
  <si>
    <t>LEMBUR</t>
  </si>
  <si>
    <t>GAJI/HARI</t>
  </si>
  <si>
    <t>LEMBUR/JAM</t>
  </si>
  <si>
    <t>GAJI</t>
  </si>
  <si>
    <t>JUMLAH</t>
  </si>
  <si>
    <t>MIRLAN</t>
  </si>
  <si>
    <t>钢筋工</t>
  </si>
  <si>
    <t>早上</t>
  </si>
  <si>
    <t>✓</t>
  </si>
  <si>
    <t>下午</t>
  </si>
  <si>
    <t>加班</t>
  </si>
  <si>
    <t>JUMA</t>
  </si>
  <si>
    <t>ILHAM</t>
  </si>
  <si>
    <t>小工</t>
  </si>
  <si>
    <t>ARI SUROTO</t>
  </si>
  <si>
    <t>ADITYA</t>
  </si>
  <si>
    <t>TOTAL KEHADIRAN</t>
  </si>
  <si>
    <t>AUDRA</t>
  </si>
  <si>
    <t>IKSAN</t>
  </si>
  <si>
    <t>ABI</t>
  </si>
  <si>
    <t>ILHAM ORANGE</t>
  </si>
  <si>
    <t>YAYAN</t>
  </si>
  <si>
    <t>GONDRONG</t>
  </si>
  <si>
    <t>RIFALDI</t>
  </si>
  <si>
    <t>PUTRA</t>
  </si>
  <si>
    <t>WIDI SAHRUL</t>
  </si>
  <si>
    <t>SALDY</t>
  </si>
  <si>
    <t>HAP HAP</t>
  </si>
  <si>
    <t>TOPAN</t>
  </si>
  <si>
    <t>SYAWAL</t>
  </si>
  <si>
    <t>BAMBANG</t>
  </si>
  <si>
    <t>BUDI</t>
  </si>
  <si>
    <t>BODO</t>
  </si>
  <si>
    <t>BEDO</t>
  </si>
  <si>
    <t>HAIRUN</t>
  </si>
  <si>
    <t xml:space="preserve">LA ADE </t>
  </si>
  <si>
    <t>AMAN</t>
  </si>
  <si>
    <t>AWANG</t>
  </si>
  <si>
    <t>AWAL IRSYAD</t>
  </si>
  <si>
    <t>DONI DAMARA</t>
  </si>
  <si>
    <t>JAMIU</t>
  </si>
  <si>
    <t>LUSPI</t>
  </si>
  <si>
    <t>SAMANA</t>
  </si>
  <si>
    <t>HARJONO</t>
  </si>
  <si>
    <t>AMI</t>
  </si>
  <si>
    <t>JAMRAN</t>
  </si>
  <si>
    <t>NUSLAN</t>
  </si>
  <si>
    <t>LAMBAINI</t>
  </si>
  <si>
    <t>MASRY</t>
  </si>
  <si>
    <t>RANDI</t>
  </si>
  <si>
    <t>KALVIN</t>
  </si>
  <si>
    <t>MAS REZA</t>
  </si>
  <si>
    <t>AULIA RAHMAN(UMK)</t>
  </si>
  <si>
    <t>FIRMAN (WMK)</t>
  </si>
  <si>
    <t>HAERIL(WMK)</t>
  </si>
  <si>
    <t>DINAL (WMK)</t>
  </si>
  <si>
    <t>RESKY (WMK)</t>
  </si>
  <si>
    <t>ASRAL(WMK)</t>
  </si>
  <si>
    <t>JEFRI(WMK)</t>
  </si>
  <si>
    <t>HAIKAL</t>
  </si>
  <si>
    <t>ALFIN</t>
  </si>
  <si>
    <t>ZULKIFLI</t>
  </si>
  <si>
    <t>ARIL</t>
  </si>
  <si>
    <t>DION</t>
  </si>
  <si>
    <t>ASWAD</t>
  </si>
  <si>
    <t>TENRI ADAM</t>
  </si>
  <si>
    <t>MUSMIN</t>
  </si>
  <si>
    <t>ERWIN</t>
  </si>
  <si>
    <t>IRFAN</t>
  </si>
  <si>
    <t>SALIM</t>
  </si>
  <si>
    <t>AFDAL</t>
  </si>
  <si>
    <t>FITRA</t>
  </si>
  <si>
    <t>: MR SONG</t>
  </si>
  <si>
    <t>:ANJELIKA</t>
  </si>
  <si>
    <r>
      <t xml:space="preserve">                                                                                                            </t>
    </r>
    <r>
      <rPr>
        <b/>
        <u/>
        <sz val="16"/>
        <color theme="1"/>
        <rFont val="NarROW"/>
        <charset val="1"/>
      </rPr>
      <t>ABSEN BULAN JULI/7 2026</t>
    </r>
    <r>
      <rPr>
        <b/>
        <sz val="16"/>
        <color theme="1"/>
        <rFont val="NarROW"/>
        <charset val="1"/>
      </rPr>
      <t xml:space="preserve"> . </t>
    </r>
  </si>
  <si>
    <t>SUPRIADI</t>
  </si>
  <si>
    <t>FERDI</t>
  </si>
  <si>
    <t>ADI</t>
  </si>
  <si>
    <t>SUDIRMAN(UMK)</t>
  </si>
  <si>
    <t>RUSTAM</t>
  </si>
  <si>
    <t>JEFRI AL TOBIN</t>
  </si>
  <si>
    <t>RUSLAN</t>
  </si>
  <si>
    <t>APRIANSYAH</t>
  </si>
  <si>
    <t>LA HUDI</t>
  </si>
  <si>
    <t>RANGGA</t>
  </si>
  <si>
    <t>DARWIS</t>
  </si>
  <si>
    <t>ASMAN (WMK)</t>
  </si>
  <si>
    <t>MILWAN (WMK)</t>
  </si>
  <si>
    <t>ASRAN (WMK)</t>
  </si>
  <si>
    <t>DENIS(WMK)</t>
  </si>
  <si>
    <t>BALADAU</t>
  </si>
  <si>
    <t>LA AMI</t>
  </si>
  <si>
    <t>PAHRI</t>
  </si>
  <si>
    <t>RUSPI</t>
  </si>
  <si>
    <t>JAMALI</t>
  </si>
  <si>
    <t>RUSLI</t>
  </si>
  <si>
    <t>AKSAN</t>
  </si>
  <si>
    <t>MARTANG</t>
  </si>
  <si>
    <t>JUNA IDIN</t>
  </si>
  <si>
    <t>ASWAN(WMK)</t>
  </si>
  <si>
    <t>ABDUL RAHMAN</t>
  </si>
  <si>
    <t>SEPTIAWAN</t>
  </si>
  <si>
    <t>AMAR</t>
  </si>
  <si>
    <t>LUKRI</t>
  </si>
  <si>
    <r>
      <t xml:space="preserve">                                                                                                            </t>
    </r>
    <r>
      <rPr>
        <b/>
        <u/>
        <sz val="16"/>
        <color theme="1"/>
        <rFont val="NarROW"/>
        <charset val="1"/>
      </rPr>
      <t>ABSEN BULAN JUNI/6 2026</t>
    </r>
    <r>
      <rPr>
        <b/>
        <sz val="16"/>
        <color theme="1"/>
        <rFont val="NarROW"/>
        <charset val="1"/>
      </rPr>
      <t xml:space="preserve"> . </t>
    </r>
  </si>
  <si>
    <t>ANJELIKA</t>
  </si>
  <si>
    <t>木匠</t>
  </si>
  <si>
    <t>RENDY B</t>
  </si>
  <si>
    <t>INDRA</t>
  </si>
  <si>
    <t>ASRUL</t>
  </si>
  <si>
    <t>NANDA</t>
  </si>
  <si>
    <t>ADAM</t>
  </si>
  <si>
    <t>ADRIAN</t>
  </si>
  <si>
    <t>IBE</t>
  </si>
  <si>
    <t>RAHIM</t>
  </si>
  <si>
    <t>FADIL</t>
  </si>
  <si>
    <t>YAHYA</t>
  </si>
  <si>
    <t>BIO</t>
  </si>
  <si>
    <t>MAS</t>
  </si>
  <si>
    <t>ERIK</t>
  </si>
  <si>
    <t>IMRAN</t>
  </si>
  <si>
    <t>DAENG</t>
  </si>
  <si>
    <t>JOKOWI</t>
  </si>
  <si>
    <t>PRABOWO</t>
  </si>
  <si>
    <t>IQBAL</t>
  </si>
  <si>
    <t>TUKANG LAS</t>
  </si>
  <si>
    <t>PUANG</t>
  </si>
  <si>
    <t>RIJAL</t>
  </si>
  <si>
    <t>ODE</t>
  </si>
  <si>
    <t>ODEAN</t>
  </si>
  <si>
    <t>ANONIM</t>
  </si>
  <si>
    <t>焊工</t>
  </si>
  <si>
    <t>FUTRI</t>
  </si>
  <si>
    <t>DIKA SAPUTRA</t>
  </si>
  <si>
    <t>NDA TAU</t>
  </si>
  <si>
    <t>HAIKUL</t>
  </si>
  <si>
    <t>TUKANG LAS 2</t>
  </si>
  <si>
    <t xml:space="preserve">EVAN </t>
  </si>
  <si>
    <t>YUSUF</t>
  </si>
  <si>
    <t>HASDI NIRWAN</t>
  </si>
  <si>
    <t>MUH ASHAR</t>
  </si>
  <si>
    <t>WARIS</t>
  </si>
  <si>
    <t>FAISAL</t>
  </si>
  <si>
    <t>DONI HENDRAWAN</t>
  </si>
  <si>
    <t xml:space="preserve"> </t>
  </si>
  <si>
    <t>CARLY</t>
  </si>
  <si>
    <t>MUH ALIAS</t>
  </si>
  <si>
    <t>KURNIAWAN</t>
  </si>
  <si>
    <t>DIRHAM</t>
  </si>
  <si>
    <t>SUBAIR</t>
  </si>
  <si>
    <t>GITA</t>
  </si>
  <si>
    <t>MARYO</t>
  </si>
  <si>
    <t>SEPTIAN</t>
  </si>
  <si>
    <t>ADRIAN SAPUTRA</t>
  </si>
  <si>
    <t xml:space="preserve">YOGA </t>
  </si>
  <si>
    <t>FAHRIYANSYAH</t>
  </si>
  <si>
    <t>YUNUS</t>
  </si>
  <si>
    <t>ABI AL ISRA</t>
  </si>
  <si>
    <t>LIAS</t>
  </si>
  <si>
    <t>RISALDI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</si>
</sst>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[$Rp-421]* #,##0.00_-;\-[$Rp-421]* #,##0.00_-;_-[$Rp-421]* &quot;-&quot;??_-;_-@_-"/>
  </numFmts>
  <fonts count="19">
    <font>
      <sz val="11"/>
      <color theme="1"/>
      <name val="Aptos Narrow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scheme val="minor"/>
    </font>
    <font>
      <b/>
      <u/>
      <sz val="16"/>
      <color theme="1"/>
      <name val="NarROW"/>
      <charset val="1"/>
    </font>
    <font>
      <b/>
      <sz val="12"/>
      <color theme="1"/>
      <name val="NarROW"/>
      <charset val="1"/>
    </font>
    <font>
      <b/>
      <u/>
      <sz val="12"/>
      <color theme="1"/>
      <name val="NarROW"/>
      <charset val="1"/>
    </font>
    <font>
      <b/>
      <u/>
      <sz val="9"/>
      <color theme="1"/>
      <name val="NarROW"/>
      <charset val="1"/>
    </font>
    <font>
      <sz val="9"/>
      <color theme="1"/>
      <name val="NarROW"/>
      <charset val="1"/>
    </font>
    <font>
      <b/>
      <sz val="16"/>
      <color theme="1"/>
      <name val="NarROW"/>
      <charset val="1"/>
    </font>
    <font>
      <sz val="8"/>
      <color theme="1"/>
      <name val="NarROW"/>
      <charset val="1"/>
    </font>
    <font>
      <sz val="9"/>
      <name val="宋体"/>
      <charset val="134"/>
    </font>
    <font>
      <sz val="9"/>
      <color theme="1"/>
      <name val="Aptos Narrow"/>
    </font>
    <font>
      <sz val="9"/>
      <name val="NarROW"/>
      <charset val="1"/>
    </font>
    <font>
      <sz val="9"/>
      <color theme="1"/>
      <name val="宋体"/>
      <charset val="134"/>
    </font>
    <font>
      <b/>
      <sz val="12"/>
      <color theme="1"/>
      <name val="NarROW"/>
      <charset val="134"/>
    </font>
    <font>
      <b/>
      <sz val="10"/>
      <color theme="1"/>
      <name val="NarROW"/>
      <charset val="134"/>
    </font>
    <font>
      <sz val="11"/>
      <color theme="1"/>
      <name val="NarROW"/>
      <charset val="1"/>
    </font>
    <font>
      <sz val="9"/>
      <color theme="1"/>
      <name val="Aptos Narrow"/>
      <family val="2"/>
    </font>
    <font>
      <sz val="9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7" fillId="0" borderId="0" xfId="2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5" fontId="14" fillId="0" borderId="0" xfId="2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0" xfId="2" applyNumberFormat="1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65" fontId="7" fillId="0" borderId="5" xfId="2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1" fillId="0" borderId="0" xfId="3"/>
    <xf numFmtId="0" fontId="3" fillId="0" borderId="1" xfId="3" applyFont="1" applyBorder="1" applyAlignment="1">
      <alignment vertical="center"/>
    </xf>
    <xf numFmtId="0" fontId="9" fillId="0" borderId="3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0" borderId="2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5" fontId="7" fillId="0" borderId="2" xfId="2" applyNumberFormat="1" applyFont="1" applyBorder="1" applyAlignment="1">
      <alignment horizontal="center" vertical="center"/>
    </xf>
    <xf numFmtId="165" fontId="7" fillId="0" borderId="4" xfId="2" applyNumberFormat="1" applyFont="1" applyBorder="1" applyAlignment="1">
      <alignment horizontal="center" vertical="center"/>
    </xf>
    <xf numFmtId="165" fontId="7" fillId="0" borderId="5" xfId="2" applyNumberFormat="1" applyFont="1" applyBorder="1" applyAlignment="1">
      <alignment horizontal="center" vertical="center"/>
    </xf>
    <xf numFmtId="165" fontId="7" fillId="0" borderId="3" xfId="2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5" fontId="9" fillId="0" borderId="2" xfId="2" applyNumberFormat="1" applyFont="1" applyBorder="1" applyAlignment="1">
      <alignment horizontal="center" vertical="center"/>
    </xf>
    <xf numFmtId="165" fontId="9" fillId="0" borderId="4" xfId="2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3" fontId="9" fillId="0" borderId="2" xfId="1" applyFont="1" applyBorder="1" applyAlignment="1">
      <alignment horizontal="center" vertical="center"/>
    </xf>
    <xf numFmtId="43" fontId="9" fillId="0" borderId="4" xfId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43" fontId="9" fillId="0" borderId="2" xfId="4" applyFont="1" applyBorder="1" applyAlignment="1">
      <alignment horizontal="center" vertical="center"/>
    </xf>
    <xf numFmtId="43" fontId="9" fillId="0" borderId="4" xfId="4" applyFont="1" applyBorder="1" applyAlignment="1">
      <alignment horizontal="center" vertical="center"/>
    </xf>
    <xf numFmtId="0" fontId="7" fillId="0" borderId="2" xfId="3" quotePrefix="1" applyFont="1" applyBorder="1" applyAlignment="1">
      <alignment horizontal="center" vertical="center"/>
    </xf>
    <xf numFmtId="0" fontId="7" fillId="0" borderId="4" xfId="3" quotePrefix="1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 wrapText="1"/>
    </xf>
    <xf numFmtId="0" fontId="9" fillId="0" borderId="4" xfId="3" applyFont="1" applyBorder="1" applyAlignment="1">
      <alignment horizontal="center" vertical="center" wrapText="1"/>
    </xf>
    <xf numFmtId="0" fontId="3" fillId="0" borderId="0" xfId="3" applyFont="1" applyAlignment="1">
      <alignment horizontal="right" vertical="center"/>
    </xf>
    <xf numFmtId="0" fontId="8" fillId="0" borderId="1" xfId="3" applyFont="1" applyBorder="1" applyAlignment="1">
      <alignment horizontal="right" vertical="center"/>
    </xf>
    <xf numFmtId="0" fontId="3" fillId="0" borderId="1" xfId="3" applyFont="1" applyBorder="1" applyAlignment="1">
      <alignment horizontal="right" vertical="center"/>
    </xf>
    <xf numFmtId="0" fontId="9" fillId="0" borderId="3" xfId="3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</cellXfs>
  <cellStyles count="5">
    <cellStyle name="Comma" xfId="1" builtinId="3"/>
    <cellStyle name="Currency" xfId="2" builtinId="4"/>
    <cellStyle name="Koma 2" xfId="4" xr:uid="{D81900C2-7F0B-4DFB-A6BB-AD9E07BBFB8B}"/>
    <cellStyle name="Normal" xfId="0" builtinId="0"/>
    <cellStyle name="Normal 2" xfId="3" xr:uid="{CEEB2955-3125-4F2A-B2F7-99E97FEB26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EB47-EC4A-41DB-A96F-CDCE80448C4C}">
  <dimension ref="A1:AP244"/>
  <sheetViews>
    <sheetView tabSelected="1" zoomScale="173" zoomScaleNormal="100" workbookViewId="0">
      <pane xSplit="3" ySplit="4" topLeftCell="D240" activePane="bottomRight" state="frozen"/>
      <selection pane="topRight"/>
      <selection pane="bottomLeft"/>
      <selection pane="bottomRight" activeCell="J248" sqref="J248"/>
    </sheetView>
  </sheetViews>
  <sheetFormatPr baseColWidth="10" defaultColWidth="9" defaultRowHeight="15"/>
  <cols>
    <col min="1" max="1" width="6.83203125" style="16" customWidth="1"/>
    <col min="2" max="2" width="18.33203125" style="16" customWidth="1"/>
    <col min="3" max="3" width="8.33203125" style="16" customWidth="1"/>
    <col min="4" max="4" width="6.6640625" style="16" customWidth="1"/>
    <col min="5" max="35" width="4.1640625" style="16" customWidth="1"/>
    <col min="36" max="36" width="8.83203125" style="16" customWidth="1"/>
    <col min="37" max="37" width="7.83203125" style="17" customWidth="1"/>
    <col min="38" max="38" width="13.83203125" style="18" customWidth="1"/>
    <col min="39" max="39" width="13.5" style="18" customWidth="1"/>
    <col min="40" max="40" width="17.33203125" style="18" customWidth="1"/>
    <col min="41" max="41" width="16.1640625" style="18" customWidth="1"/>
    <col min="42" max="42" width="20.5" style="18" customWidth="1"/>
  </cols>
  <sheetData>
    <row r="1" spans="1:42" ht="2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1"/>
      <c r="W1" s="1"/>
      <c r="X1" s="1"/>
      <c r="Y1" s="2" t="s">
        <v>1</v>
      </c>
      <c r="Z1" s="3"/>
      <c r="AA1" s="3"/>
      <c r="AB1" s="3"/>
      <c r="AC1" s="2" t="s">
        <v>2</v>
      </c>
      <c r="AD1" s="3"/>
      <c r="AE1" s="1"/>
      <c r="AF1" s="4"/>
      <c r="AG1" s="4"/>
      <c r="AH1" s="4"/>
      <c r="AI1" s="4"/>
      <c r="AJ1" s="4"/>
      <c r="AK1" s="5"/>
      <c r="AL1" s="6"/>
      <c r="AM1" s="6"/>
      <c r="AN1" s="6"/>
      <c r="AO1" s="6"/>
      <c r="AP1" s="6"/>
    </row>
    <row r="2" spans="1:42" ht="21">
      <c r="A2" s="72" t="s">
        <v>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"/>
      <c r="W2" s="1"/>
      <c r="X2" s="1"/>
      <c r="Y2" s="2" t="s">
        <v>4</v>
      </c>
      <c r="Z2" s="3"/>
      <c r="AA2" s="3"/>
      <c r="AB2" s="3"/>
      <c r="AC2" s="2" t="s">
        <v>86</v>
      </c>
      <c r="AD2" s="3"/>
      <c r="AE2" s="1"/>
      <c r="AF2" s="4"/>
      <c r="AG2" s="4"/>
      <c r="AH2" s="4"/>
      <c r="AI2" s="4"/>
      <c r="AJ2" s="4"/>
      <c r="AK2" s="5"/>
      <c r="AL2" s="6"/>
      <c r="AM2" s="6"/>
      <c r="AN2" s="6"/>
      <c r="AO2" s="6"/>
      <c r="AP2" s="6"/>
    </row>
    <row r="3" spans="1:42">
      <c r="A3" s="52" t="s">
        <v>5</v>
      </c>
      <c r="B3" s="52" t="s">
        <v>6</v>
      </c>
      <c r="C3" s="69" t="s">
        <v>7</v>
      </c>
      <c r="D3" s="69" t="s">
        <v>8</v>
      </c>
      <c r="E3" s="74" t="s">
        <v>9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69" t="s">
        <v>10</v>
      </c>
      <c r="AK3" s="52" t="s">
        <v>11</v>
      </c>
      <c r="AL3" s="50" t="s">
        <v>12</v>
      </c>
      <c r="AM3" s="50" t="s">
        <v>13</v>
      </c>
      <c r="AN3" s="50" t="s">
        <v>14</v>
      </c>
      <c r="AO3" s="50" t="s">
        <v>11</v>
      </c>
      <c r="AP3" s="50" t="s">
        <v>15</v>
      </c>
    </row>
    <row r="4" spans="1:42">
      <c r="A4" s="53"/>
      <c r="B4" s="53"/>
      <c r="C4" s="70"/>
      <c r="D4" s="70"/>
      <c r="E4" s="8">
        <v>1</v>
      </c>
      <c r="F4" s="8">
        <v>2</v>
      </c>
      <c r="G4" s="8">
        <v>3</v>
      </c>
      <c r="H4" s="8">
        <v>4</v>
      </c>
      <c r="I4" s="8">
        <v>5</v>
      </c>
      <c r="J4" s="8">
        <v>6</v>
      </c>
      <c r="K4" s="8">
        <v>7</v>
      </c>
      <c r="L4" s="8">
        <v>8</v>
      </c>
      <c r="M4" s="8">
        <v>9</v>
      </c>
      <c r="N4" s="8">
        <v>10</v>
      </c>
      <c r="O4" s="8">
        <v>11</v>
      </c>
      <c r="P4" s="8">
        <v>12</v>
      </c>
      <c r="Q4" s="8">
        <v>13</v>
      </c>
      <c r="R4" s="8">
        <v>14</v>
      </c>
      <c r="S4" s="8">
        <v>15</v>
      </c>
      <c r="T4" s="8">
        <v>16</v>
      </c>
      <c r="U4" s="8">
        <v>17</v>
      </c>
      <c r="V4" s="8">
        <v>18</v>
      </c>
      <c r="W4" s="8">
        <v>19</v>
      </c>
      <c r="X4" s="8">
        <v>20</v>
      </c>
      <c r="Y4" s="8">
        <v>21</v>
      </c>
      <c r="Z4" s="8">
        <v>22</v>
      </c>
      <c r="AA4" s="8">
        <v>23</v>
      </c>
      <c r="AB4" s="8">
        <v>24</v>
      </c>
      <c r="AC4" s="8">
        <v>25</v>
      </c>
      <c r="AD4" s="8">
        <v>26</v>
      </c>
      <c r="AE4" s="8">
        <v>27</v>
      </c>
      <c r="AF4" s="8">
        <v>28</v>
      </c>
      <c r="AG4" s="8">
        <v>29</v>
      </c>
      <c r="AH4" s="8">
        <v>30</v>
      </c>
      <c r="AI4" s="8">
        <v>31</v>
      </c>
      <c r="AJ4" s="70"/>
      <c r="AK4" s="53"/>
      <c r="AL4" s="51"/>
      <c r="AM4" s="51"/>
      <c r="AN4" s="51"/>
      <c r="AO4" s="51"/>
      <c r="AP4" s="51"/>
    </row>
    <row r="5" spans="1:42">
      <c r="A5" s="39">
        <v>1</v>
      </c>
      <c r="B5" s="39" t="s">
        <v>25</v>
      </c>
      <c r="C5" s="42" t="s">
        <v>24</v>
      </c>
      <c r="D5" s="10" t="s">
        <v>18</v>
      </c>
      <c r="E5" s="11" t="s">
        <v>19</v>
      </c>
      <c r="F5" s="11"/>
      <c r="G5" s="11" t="s">
        <v>19</v>
      </c>
      <c r="H5" s="11"/>
      <c r="I5" s="11" t="s">
        <v>19</v>
      </c>
      <c r="J5" s="11"/>
      <c r="K5" s="11"/>
      <c r="L5" s="11"/>
      <c r="M5" s="11" t="s">
        <v>19</v>
      </c>
      <c r="N5" s="11"/>
      <c r="O5" s="11" t="s">
        <v>19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39">
        <f>COUNTIFS(E5:AI6,"✓")/2</f>
        <v>4.5</v>
      </c>
      <c r="AK5" s="39">
        <f>SUM(O7:AG7)</f>
        <v>0</v>
      </c>
      <c r="AL5" s="44">
        <v>300000</v>
      </c>
      <c r="AM5" s="44">
        <v>30000</v>
      </c>
      <c r="AN5" s="44">
        <f>AL5*AJ5</f>
        <v>1350000</v>
      </c>
      <c r="AO5" s="44">
        <f>AM5*AK5</f>
        <v>0</v>
      </c>
      <c r="AP5" s="44">
        <f>AL5*AJ5+AM5*AK5</f>
        <v>1350000</v>
      </c>
    </row>
    <row r="6" spans="1:42">
      <c r="A6" s="40"/>
      <c r="B6" s="40"/>
      <c r="C6" s="43"/>
      <c r="D6" s="10" t="s">
        <v>20</v>
      </c>
      <c r="E6" s="11"/>
      <c r="F6" s="11"/>
      <c r="G6" s="11" t="s">
        <v>19</v>
      </c>
      <c r="H6" s="11"/>
      <c r="I6" s="11" t="s">
        <v>19</v>
      </c>
      <c r="J6" s="11"/>
      <c r="K6" s="11"/>
      <c r="L6" s="11"/>
      <c r="M6" s="11" t="s">
        <v>19</v>
      </c>
      <c r="N6" s="11"/>
      <c r="O6" s="11" t="s">
        <v>19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40"/>
      <c r="AK6" s="40"/>
      <c r="AL6" s="45"/>
      <c r="AM6" s="45"/>
      <c r="AN6" s="45"/>
      <c r="AO6" s="45"/>
      <c r="AP6" s="45"/>
    </row>
    <row r="7" spans="1:42">
      <c r="A7" s="40"/>
      <c r="B7" s="40"/>
      <c r="C7" s="43"/>
      <c r="D7" s="12" t="s">
        <v>21</v>
      </c>
      <c r="E7" s="11">
        <v>0.5</v>
      </c>
      <c r="F7" s="11"/>
      <c r="G7" s="11">
        <v>1</v>
      </c>
      <c r="H7" s="11"/>
      <c r="I7" s="11">
        <v>1</v>
      </c>
      <c r="J7" s="11">
        <v>2</v>
      </c>
      <c r="K7" s="11"/>
      <c r="L7" s="11"/>
      <c r="M7" s="11">
        <v>1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40"/>
      <c r="AK7" s="40"/>
      <c r="AL7" s="46"/>
      <c r="AM7" s="46"/>
      <c r="AN7" s="46"/>
      <c r="AO7" s="46"/>
      <c r="AP7" s="46"/>
    </row>
    <row r="8" spans="1:42">
      <c r="A8" s="39">
        <f>A5+1</f>
        <v>2</v>
      </c>
      <c r="B8" s="39" t="s">
        <v>28</v>
      </c>
      <c r="C8" s="42" t="s">
        <v>24</v>
      </c>
      <c r="D8" s="10" t="s">
        <v>18</v>
      </c>
      <c r="E8" s="11" t="s">
        <v>19</v>
      </c>
      <c r="F8" s="10"/>
      <c r="G8" s="10"/>
      <c r="H8" s="11" t="s">
        <v>19</v>
      </c>
      <c r="I8" s="11" t="s">
        <v>19</v>
      </c>
      <c r="J8" s="11" t="s">
        <v>19</v>
      </c>
      <c r="K8" s="11" t="s">
        <v>19</v>
      </c>
      <c r="L8" s="10"/>
      <c r="M8" s="10"/>
      <c r="N8" s="11" t="s">
        <v>19</v>
      </c>
      <c r="O8" s="11" t="s">
        <v>19</v>
      </c>
      <c r="P8" s="10"/>
      <c r="Q8" s="10"/>
      <c r="R8" s="11" t="s">
        <v>19</v>
      </c>
      <c r="S8" s="10"/>
      <c r="T8" s="11" t="s">
        <v>19</v>
      </c>
      <c r="U8" s="11" t="s">
        <v>19</v>
      </c>
      <c r="V8" s="10"/>
      <c r="W8" s="97" t="s">
        <v>19</v>
      </c>
      <c r="X8" s="97" t="s">
        <v>19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39">
        <f>COUNTIFS(E8:AI9,"✓")/2</f>
        <v>12</v>
      </c>
      <c r="AK8" s="39">
        <f>SUM(O10:AG10)</f>
        <v>0</v>
      </c>
      <c r="AL8" s="44">
        <v>300000</v>
      </c>
      <c r="AM8" s="44">
        <v>30000</v>
      </c>
      <c r="AN8" s="44">
        <f>AL8*AJ8</f>
        <v>3600000</v>
      </c>
      <c r="AO8" s="44">
        <f>AM8*AK8</f>
        <v>0</v>
      </c>
      <c r="AP8" s="44">
        <f t="shared" ref="AP8" si="0">AL8*AJ8+AM8*AK8</f>
        <v>3600000</v>
      </c>
    </row>
    <row r="9" spans="1:42">
      <c r="A9" s="40"/>
      <c r="B9" s="40"/>
      <c r="C9" s="43"/>
      <c r="D9" s="10" t="s">
        <v>20</v>
      </c>
      <c r="E9" s="11" t="s">
        <v>19</v>
      </c>
      <c r="F9" s="10"/>
      <c r="G9" s="10"/>
      <c r="H9" s="11" t="s">
        <v>19</v>
      </c>
      <c r="I9" s="11" t="s">
        <v>19</v>
      </c>
      <c r="J9" s="11" t="s">
        <v>19</v>
      </c>
      <c r="K9" s="11" t="s">
        <v>19</v>
      </c>
      <c r="L9" s="10"/>
      <c r="M9" s="10"/>
      <c r="N9" s="11" t="s">
        <v>19</v>
      </c>
      <c r="O9" s="11" t="s">
        <v>19</v>
      </c>
      <c r="P9" s="10"/>
      <c r="Q9" s="10"/>
      <c r="R9" s="11" t="s">
        <v>19</v>
      </c>
      <c r="S9" s="10"/>
      <c r="T9" s="11" t="s">
        <v>19</v>
      </c>
      <c r="U9" s="11" t="s">
        <v>19</v>
      </c>
      <c r="V9" s="10"/>
      <c r="W9" s="97" t="s">
        <v>19</v>
      </c>
      <c r="X9" s="97" t="s">
        <v>19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40"/>
      <c r="AK9" s="40"/>
      <c r="AL9" s="45"/>
      <c r="AM9" s="45"/>
      <c r="AN9" s="45"/>
      <c r="AO9" s="45"/>
      <c r="AP9" s="45"/>
    </row>
    <row r="10" spans="1:42">
      <c r="A10" s="40"/>
      <c r="B10" s="40"/>
      <c r="C10" s="43"/>
      <c r="D10" s="12" t="s">
        <v>21</v>
      </c>
      <c r="E10" s="10">
        <v>1</v>
      </c>
      <c r="F10" s="10"/>
      <c r="G10" s="10"/>
      <c r="H10" s="10">
        <v>1</v>
      </c>
      <c r="I10" s="10">
        <v>1</v>
      </c>
      <c r="J10" s="10">
        <v>1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40"/>
      <c r="AK10" s="40"/>
      <c r="AL10" s="46"/>
      <c r="AM10" s="46"/>
      <c r="AN10" s="46"/>
      <c r="AO10" s="46"/>
      <c r="AP10" s="46"/>
    </row>
    <row r="11" spans="1:42">
      <c r="A11" s="39">
        <f>A8+1</f>
        <v>3</v>
      </c>
      <c r="B11" s="39" t="s">
        <v>29</v>
      </c>
      <c r="C11" s="42" t="s">
        <v>24</v>
      </c>
      <c r="D11" s="10" t="s">
        <v>18</v>
      </c>
      <c r="E11" s="11" t="s">
        <v>19</v>
      </c>
      <c r="F11" s="10"/>
      <c r="G11" s="10"/>
      <c r="H11" s="11" t="s">
        <v>19</v>
      </c>
      <c r="I11" s="11" t="s">
        <v>19</v>
      </c>
      <c r="J11" s="10"/>
      <c r="K11" s="10"/>
      <c r="L11" s="11" t="s">
        <v>19</v>
      </c>
      <c r="M11" s="10"/>
      <c r="N11" s="11" t="s">
        <v>19</v>
      </c>
      <c r="O11" s="11" t="s">
        <v>19</v>
      </c>
      <c r="P11" s="10"/>
      <c r="Q11" s="10"/>
      <c r="R11" s="11" t="s">
        <v>19</v>
      </c>
      <c r="S11" s="10"/>
      <c r="T11" s="10"/>
      <c r="U11" s="11" t="s">
        <v>19</v>
      </c>
      <c r="V11" s="10"/>
      <c r="W11" s="97" t="s">
        <v>19</v>
      </c>
      <c r="X11" s="97" t="s">
        <v>19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39">
        <f>COUNTIFS(E11:AI12,"✓")/2</f>
        <v>10</v>
      </c>
      <c r="AK11" s="39">
        <f t="shared" ref="AK11" si="1">SUM(O13:AG13)</f>
        <v>0</v>
      </c>
      <c r="AL11" s="44">
        <v>300000</v>
      </c>
      <c r="AM11" s="44">
        <v>30000</v>
      </c>
      <c r="AN11" s="44">
        <f>AL11*AJ11</f>
        <v>3000000</v>
      </c>
      <c r="AO11" s="44">
        <f>AM11*AK11</f>
        <v>0</v>
      </c>
      <c r="AP11" s="44">
        <f t="shared" ref="AP11" si="2">AL11*AJ11+AM11*AK11</f>
        <v>3000000</v>
      </c>
    </row>
    <row r="12" spans="1:42">
      <c r="A12" s="40"/>
      <c r="B12" s="40"/>
      <c r="C12" s="43"/>
      <c r="D12" s="10" t="s">
        <v>20</v>
      </c>
      <c r="E12" s="11" t="s">
        <v>19</v>
      </c>
      <c r="F12" s="10"/>
      <c r="G12" s="10"/>
      <c r="H12" s="11" t="s">
        <v>19</v>
      </c>
      <c r="I12" s="11" t="s">
        <v>19</v>
      </c>
      <c r="J12" s="10"/>
      <c r="K12" s="10"/>
      <c r="L12" s="11" t="s">
        <v>19</v>
      </c>
      <c r="M12" s="10"/>
      <c r="N12" s="11" t="s">
        <v>19</v>
      </c>
      <c r="O12" s="11" t="s">
        <v>19</v>
      </c>
      <c r="P12" s="10"/>
      <c r="Q12" s="10"/>
      <c r="R12" s="11" t="s">
        <v>19</v>
      </c>
      <c r="S12" s="10"/>
      <c r="T12" s="10"/>
      <c r="U12" s="11" t="s">
        <v>19</v>
      </c>
      <c r="V12" s="10"/>
      <c r="W12" s="97" t="s">
        <v>19</v>
      </c>
      <c r="X12" s="97" t="s">
        <v>19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40"/>
      <c r="AK12" s="40"/>
      <c r="AL12" s="45"/>
      <c r="AM12" s="45"/>
      <c r="AN12" s="45"/>
      <c r="AO12" s="45"/>
      <c r="AP12" s="45"/>
    </row>
    <row r="13" spans="1:42">
      <c r="A13" s="40"/>
      <c r="B13" s="40"/>
      <c r="C13" s="43"/>
      <c r="D13" s="12" t="s">
        <v>21</v>
      </c>
      <c r="E13" s="10">
        <v>1</v>
      </c>
      <c r="F13" s="10"/>
      <c r="G13" s="10"/>
      <c r="H13" s="10">
        <v>12</v>
      </c>
      <c r="I13" s="10">
        <v>1</v>
      </c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40"/>
      <c r="AK13" s="40"/>
      <c r="AL13" s="46"/>
      <c r="AM13" s="46"/>
      <c r="AN13" s="46"/>
      <c r="AO13" s="46"/>
      <c r="AP13" s="46"/>
    </row>
    <row r="14" spans="1:42">
      <c r="A14" s="39">
        <f>A11+1</f>
        <v>4</v>
      </c>
      <c r="B14" s="39" t="s">
        <v>30</v>
      </c>
      <c r="C14" s="42" t="s">
        <v>24</v>
      </c>
      <c r="D14" s="10" t="s">
        <v>18</v>
      </c>
      <c r="E14" s="11" t="s">
        <v>19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39">
        <f>COUNTIFS(E14:AI15,"✓")/2</f>
        <v>0.5</v>
      </c>
      <c r="AK14" s="39">
        <f t="shared" ref="AK14" si="3">SUM(O16:AG16)</f>
        <v>0</v>
      </c>
      <c r="AL14" s="44">
        <v>300000</v>
      </c>
      <c r="AM14" s="44">
        <v>30000</v>
      </c>
      <c r="AN14" s="44">
        <f>AL14*AJ14</f>
        <v>150000</v>
      </c>
      <c r="AO14" s="44">
        <f>AM14*AK14</f>
        <v>0</v>
      </c>
      <c r="AP14" s="44">
        <f t="shared" ref="AP14" si="4">AL14*AJ14+AM14*AK14</f>
        <v>150000</v>
      </c>
    </row>
    <row r="15" spans="1:42">
      <c r="A15" s="40"/>
      <c r="B15" s="40"/>
      <c r="C15" s="43"/>
      <c r="D15" s="10" t="s">
        <v>20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40"/>
      <c r="AK15" s="40"/>
      <c r="AL15" s="45"/>
      <c r="AM15" s="45"/>
      <c r="AN15" s="45"/>
      <c r="AO15" s="45"/>
      <c r="AP15" s="45"/>
    </row>
    <row r="16" spans="1:42">
      <c r="A16" s="40"/>
      <c r="B16" s="40"/>
      <c r="C16" s="43"/>
      <c r="D16" s="12" t="s">
        <v>21</v>
      </c>
      <c r="E16" s="10">
        <v>0.5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40"/>
      <c r="AK16" s="40"/>
      <c r="AL16" s="46"/>
      <c r="AM16" s="46"/>
      <c r="AN16" s="46"/>
      <c r="AO16" s="46"/>
      <c r="AP16" s="46"/>
    </row>
    <row r="17" spans="1:42">
      <c r="A17" s="39">
        <f>A14+1</f>
        <v>5</v>
      </c>
      <c r="B17" s="39" t="s">
        <v>31</v>
      </c>
      <c r="C17" s="42" t="s">
        <v>24</v>
      </c>
      <c r="D17" s="10" t="s">
        <v>18</v>
      </c>
      <c r="E17" s="11" t="s">
        <v>19</v>
      </c>
      <c r="F17" s="10"/>
      <c r="G17" s="10"/>
      <c r="H17" s="10"/>
      <c r="I17" s="11" t="s">
        <v>19</v>
      </c>
      <c r="J17" s="10"/>
      <c r="K17" s="11" t="s">
        <v>19</v>
      </c>
      <c r="L17" s="11" t="s">
        <v>19</v>
      </c>
      <c r="M17" s="11" t="s">
        <v>19</v>
      </c>
      <c r="N17" s="11"/>
      <c r="O17" s="11" t="s">
        <v>19</v>
      </c>
      <c r="P17" s="11"/>
      <c r="Q17" s="11" t="s">
        <v>19</v>
      </c>
      <c r="R17" s="11"/>
      <c r="S17" s="11" t="s">
        <v>19</v>
      </c>
      <c r="T17" s="11" t="s">
        <v>19</v>
      </c>
      <c r="U17" s="11"/>
      <c r="V17" s="11"/>
      <c r="W17" s="97" t="s">
        <v>19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39">
        <f>COUNTIFS(E17:AI18,"✓")/2</f>
        <v>8.5</v>
      </c>
      <c r="AK17" s="39">
        <f t="shared" ref="AK17" si="5">SUM(O19:AG19)</f>
        <v>15</v>
      </c>
      <c r="AL17" s="44">
        <v>350000</v>
      </c>
      <c r="AM17" s="44">
        <v>25000</v>
      </c>
      <c r="AN17" s="44">
        <f>AL17*AJ17</f>
        <v>2975000</v>
      </c>
      <c r="AO17" s="44">
        <f>AM17*AK17</f>
        <v>375000</v>
      </c>
      <c r="AP17" s="44">
        <f t="shared" ref="AP17" si="6">AL17*AJ17+AM17*AK17</f>
        <v>3350000</v>
      </c>
    </row>
    <row r="18" spans="1:42">
      <c r="A18" s="40"/>
      <c r="B18" s="40"/>
      <c r="C18" s="43"/>
      <c r="D18" s="10" t="s">
        <v>20</v>
      </c>
      <c r="E18" s="11"/>
      <c r="F18" s="10"/>
      <c r="G18" s="10"/>
      <c r="H18" s="10"/>
      <c r="I18" s="11" t="s">
        <v>19</v>
      </c>
      <c r="J18" s="10"/>
      <c r="K18" s="11" t="s">
        <v>19</v>
      </c>
      <c r="L18" s="11" t="s">
        <v>19</v>
      </c>
      <c r="M18" s="11"/>
      <c r="N18" s="11"/>
      <c r="O18" s="11" t="s">
        <v>19</v>
      </c>
      <c r="P18" s="11"/>
      <c r="Q18" s="11" t="s">
        <v>19</v>
      </c>
      <c r="R18" s="11"/>
      <c r="S18" s="11" t="s">
        <v>19</v>
      </c>
      <c r="T18" s="11"/>
      <c r="U18" s="11"/>
      <c r="V18" s="11"/>
      <c r="W18" s="97" t="s">
        <v>19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40"/>
      <c r="AK18" s="40"/>
      <c r="AL18" s="45"/>
      <c r="AM18" s="45"/>
      <c r="AN18" s="45"/>
      <c r="AO18" s="45"/>
      <c r="AP18" s="45"/>
    </row>
    <row r="19" spans="1:42">
      <c r="A19" s="40"/>
      <c r="B19" s="40"/>
      <c r="C19" s="43"/>
      <c r="D19" s="12" t="s">
        <v>21</v>
      </c>
      <c r="E19" s="11">
        <v>0.5</v>
      </c>
      <c r="F19" s="10"/>
      <c r="G19" s="10"/>
      <c r="H19" s="10"/>
      <c r="I19" s="10">
        <v>1</v>
      </c>
      <c r="J19" s="10"/>
      <c r="K19" s="10"/>
      <c r="L19" s="10">
        <v>13</v>
      </c>
      <c r="M19" s="10">
        <v>0.5</v>
      </c>
      <c r="N19" s="10"/>
      <c r="O19" s="10"/>
      <c r="P19" s="10"/>
      <c r="Q19" s="10"/>
      <c r="R19" s="10"/>
      <c r="S19" s="10">
        <v>15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40"/>
      <c r="AK19" s="40"/>
      <c r="AL19" s="46"/>
      <c r="AM19" s="46"/>
      <c r="AN19" s="46"/>
      <c r="AO19" s="46"/>
      <c r="AP19" s="46"/>
    </row>
    <row r="20" spans="1:42">
      <c r="A20" s="39">
        <f>A17+1</f>
        <v>6</v>
      </c>
      <c r="B20" s="39" t="s">
        <v>22</v>
      </c>
      <c r="C20" s="42" t="s">
        <v>17</v>
      </c>
      <c r="D20" s="10" t="s">
        <v>18</v>
      </c>
      <c r="E20" s="11"/>
      <c r="F20" s="10"/>
      <c r="G20" s="10"/>
      <c r="H20" s="11" t="s">
        <v>19</v>
      </c>
      <c r="I20" s="10"/>
      <c r="J20" s="10"/>
      <c r="K20" s="10"/>
      <c r="L20" s="11" t="s">
        <v>19</v>
      </c>
      <c r="M20" s="11" t="s">
        <v>19</v>
      </c>
      <c r="N20" s="10"/>
      <c r="O20" s="11" t="s">
        <v>19</v>
      </c>
      <c r="P20" s="11" t="s">
        <v>19</v>
      </c>
      <c r="Q20" s="11" t="s">
        <v>19</v>
      </c>
      <c r="R20" s="11" t="s">
        <v>19</v>
      </c>
      <c r="S20" s="10"/>
      <c r="T20" s="11"/>
      <c r="U20" s="11" t="s">
        <v>19</v>
      </c>
      <c r="V20" s="10"/>
      <c r="W20" s="10"/>
      <c r="X20" s="97" t="s">
        <v>19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39">
        <f>COUNTIFS(E20:AI21,"✓")/2</f>
        <v>9</v>
      </c>
      <c r="AK20" s="39">
        <f t="shared" ref="AK20" si="7">SUM(O22:AG22)</f>
        <v>2.5</v>
      </c>
      <c r="AL20" s="44">
        <v>230000</v>
      </c>
      <c r="AM20" s="44">
        <v>25000</v>
      </c>
      <c r="AN20" s="44">
        <f>AL20*AJ20</f>
        <v>2070000</v>
      </c>
      <c r="AO20" s="44">
        <f>AM20*AK20</f>
        <v>62500</v>
      </c>
      <c r="AP20" s="44">
        <f t="shared" ref="AP20" si="8">AL20*AJ20+AM20*AK20</f>
        <v>2132500</v>
      </c>
    </row>
    <row r="21" spans="1:42">
      <c r="A21" s="40"/>
      <c r="B21" s="40"/>
      <c r="C21" s="43"/>
      <c r="D21" s="10" t="s">
        <v>20</v>
      </c>
      <c r="E21" s="11" t="s">
        <v>19</v>
      </c>
      <c r="F21" s="10"/>
      <c r="G21" s="10"/>
      <c r="H21" s="11" t="s">
        <v>19</v>
      </c>
      <c r="I21" s="10"/>
      <c r="J21" s="10"/>
      <c r="K21" s="10"/>
      <c r="L21" s="11" t="s">
        <v>19</v>
      </c>
      <c r="M21" s="10"/>
      <c r="N21" s="10"/>
      <c r="O21" s="11" t="s">
        <v>19</v>
      </c>
      <c r="P21" s="11" t="s">
        <v>19</v>
      </c>
      <c r="Q21" s="11" t="s">
        <v>19</v>
      </c>
      <c r="R21" s="11" t="s">
        <v>19</v>
      </c>
      <c r="S21" s="10"/>
      <c r="T21" s="10"/>
      <c r="U21" s="11" t="s">
        <v>19</v>
      </c>
      <c r="V21" s="10"/>
      <c r="W21" s="10"/>
      <c r="X21" s="97" t="s">
        <v>19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40"/>
      <c r="AK21" s="40"/>
      <c r="AL21" s="45"/>
      <c r="AM21" s="45"/>
      <c r="AN21" s="45"/>
      <c r="AO21" s="45"/>
      <c r="AP21" s="45"/>
    </row>
    <row r="22" spans="1:42">
      <c r="A22" s="40"/>
      <c r="B22" s="40"/>
      <c r="C22" s="43"/>
      <c r="D22" s="12" t="s">
        <v>21</v>
      </c>
      <c r="E22" s="11">
        <v>0.5</v>
      </c>
      <c r="F22" s="10"/>
      <c r="G22" s="10"/>
      <c r="H22" s="10">
        <v>14.5</v>
      </c>
      <c r="I22" s="10"/>
      <c r="J22" s="10"/>
      <c r="K22" s="11"/>
      <c r="L22" s="10">
        <v>13</v>
      </c>
      <c r="M22" s="10">
        <v>0.5</v>
      </c>
      <c r="N22" s="10"/>
      <c r="O22" s="10"/>
      <c r="P22" s="10"/>
      <c r="Q22" s="10"/>
      <c r="R22" s="10"/>
      <c r="S22" s="10"/>
      <c r="T22" s="10">
        <v>2.5</v>
      </c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40"/>
      <c r="AK22" s="40"/>
      <c r="AL22" s="46"/>
      <c r="AM22" s="46"/>
      <c r="AN22" s="46"/>
      <c r="AO22" s="46"/>
      <c r="AP22" s="46"/>
    </row>
    <row r="23" spans="1:42">
      <c r="A23" s="39">
        <f>A20+1</f>
        <v>7</v>
      </c>
      <c r="B23" s="39" t="s">
        <v>16</v>
      </c>
      <c r="C23" s="42" t="s">
        <v>17</v>
      </c>
      <c r="D23" s="10" t="s">
        <v>18</v>
      </c>
      <c r="E23" s="10"/>
      <c r="F23" s="11"/>
      <c r="G23" s="11" t="s">
        <v>19</v>
      </c>
      <c r="H23" s="11" t="s">
        <v>19</v>
      </c>
      <c r="I23" s="11"/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1" t="s">
        <v>19</v>
      </c>
      <c r="P23" s="11" t="s">
        <v>19</v>
      </c>
      <c r="Q23" s="11" t="s">
        <v>19</v>
      </c>
      <c r="R23" s="11" t="s">
        <v>19</v>
      </c>
      <c r="S23" s="11" t="s">
        <v>19</v>
      </c>
      <c r="T23" s="11" t="s">
        <v>19</v>
      </c>
      <c r="U23" s="11" t="s">
        <v>19</v>
      </c>
      <c r="V23" s="11"/>
      <c r="W23" s="11" t="s">
        <v>19</v>
      </c>
      <c r="X23" s="97" t="s">
        <v>19</v>
      </c>
      <c r="Y23" s="11"/>
      <c r="Z23" s="11"/>
      <c r="AA23" s="10"/>
      <c r="AB23" s="11"/>
      <c r="AC23" s="11"/>
      <c r="AD23" s="10"/>
      <c r="AE23" s="11"/>
      <c r="AF23" s="11"/>
      <c r="AG23" s="10"/>
      <c r="AH23" s="11"/>
      <c r="AI23" s="11"/>
      <c r="AJ23" s="39">
        <f>COUNTIFS(E23:AI24,"✓")/2</f>
        <v>17</v>
      </c>
      <c r="AK23" s="39">
        <f t="shared" ref="AK23" si="9">SUM(O25:AG25)</f>
        <v>0</v>
      </c>
      <c r="AL23" s="44">
        <v>230000</v>
      </c>
      <c r="AM23" s="44">
        <v>25000</v>
      </c>
      <c r="AN23" s="44">
        <f>AL23*AJ23</f>
        <v>3910000</v>
      </c>
      <c r="AO23" s="44">
        <f>AM23*AK23</f>
        <v>0</v>
      </c>
      <c r="AP23" s="44">
        <f t="shared" ref="AP23" si="10">AL23*AJ23+AM23*AK23</f>
        <v>3910000</v>
      </c>
    </row>
    <row r="24" spans="1:42">
      <c r="A24" s="40"/>
      <c r="B24" s="40"/>
      <c r="C24" s="43"/>
      <c r="D24" s="10" t="s">
        <v>20</v>
      </c>
      <c r="E24" s="11" t="s">
        <v>19</v>
      </c>
      <c r="F24" s="11" t="s">
        <v>19</v>
      </c>
      <c r="G24" s="11" t="s">
        <v>19</v>
      </c>
      <c r="H24" s="11" t="s">
        <v>19</v>
      </c>
      <c r="I24" s="11" t="s">
        <v>19</v>
      </c>
      <c r="J24" s="11"/>
      <c r="K24" s="11" t="s">
        <v>19</v>
      </c>
      <c r="L24" s="11" t="s">
        <v>19</v>
      </c>
      <c r="M24" s="11" t="s">
        <v>19</v>
      </c>
      <c r="N24" s="11" t="s">
        <v>19</v>
      </c>
      <c r="O24" s="11" t="s">
        <v>19</v>
      </c>
      <c r="P24" s="11" t="s">
        <v>19</v>
      </c>
      <c r="Q24" s="11" t="s">
        <v>19</v>
      </c>
      <c r="R24" s="11" t="s">
        <v>19</v>
      </c>
      <c r="S24" s="11" t="s">
        <v>19</v>
      </c>
      <c r="T24" s="11" t="s">
        <v>19</v>
      </c>
      <c r="U24" s="11" t="s">
        <v>19</v>
      </c>
      <c r="V24" s="11"/>
      <c r="W24" s="97" t="s">
        <v>19</v>
      </c>
      <c r="X24" s="97" t="s">
        <v>19</v>
      </c>
      <c r="Y24" s="11"/>
      <c r="Z24" s="11"/>
      <c r="AA24" s="10"/>
      <c r="AB24" s="11"/>
      <c r="AC24" s="11"/>
      <c r="AD24" s="10"/>
      <c r="AE24" s="11"/>
      <c r="AF24" s="11"/>
      <c r="AG24" s="10"/>
      <c r="AH24" s="11"/>
      <c r="AI24" s="11"/>
      <c r="AJ24" s="40"/>
      <c r="AK24" s="40"/>
      <c r="AL24" s="45"/>
      <c r="AM24" s="45"/>
      <c r="AN24" s="45"/>
      <c r="AO24" s="45"/>
      <c r="AP24" s="45"/>
    </row>
    <row r="25" spans="1:42">
      <c r="A25" s="40"/>
      <c r="B25" s="40"/>
      <c r="C25" s="43"/>
      <c r="D25" s="12" t="s">
        <v>21</v>
      </c>
      <c r="E25" s="10">
        <v>0.5</v>
      </c>
      <c r="F25" s="10">
        <v>0.5</v>
      </c>
      <c r="G25" s="11">
        <v>3.5</v>
      </c>
      <c r="H25" s="11">
        <v>14.5</v>
      </c>
      <c r="I25" s="11">
        <v>3.5</v>
      </c>
      <c r="J25" s="11">
        <v>0.5</v>
      </c>
      <c r="K25" s="11"/>
      <c r="L25" s="10">
        <v>1</v>
      </c>
      <c r="M25" s="11">
        <v>13</v>
      </c>
      <c r="N25" s="11"/>
      <c r="O25" s="10"/>
      <c r="P25" s="11"/>
      <c r="Q25" s="11"/>
      <c r="R25" s="10"/>
      <c r="S25" s="11"/>
      <c r="T25" s="11"/>
      <c r="U25" s="10"/>
      <c r="V25" s="11"/>
      <c r="W25" s="11"/>
      <c r="X25" s="10"/>
      <c r="Y25" s="11"/>
      <c r="Z25" s="11"/>
      <c r="AA25" s="10"/>
      <c r="AB25" s="11"/>
      <c r="AC25" s="11"/>
      <c r="AD25" s="10"/>
      <c r="AE25" s="11"/>
      <c r="AF25" s="11"/>
      <c r="AG25" s="10"/>
      <c r="AH25" s="11"/>
      <c r="AI25" s="11"/>
      <c r="AJ25" s="40"/>
      <c r="AK25" s="40"/>
      <c r="AL25" s="46"/>
      <c r="AM25" s="46"/>
      <c r="AN25" s="46"/>
      <c r="AO25" s="46"/>
      <c r="AP25" s="46"/>
    </row>
    <row r="26" spans="1:42">
      <c r="A26" s="39">
        <f>A23+1</f>
        <v>8</v>
      </c>
      <c r="B26" s="39" t="s">
        <v>23</v>
      </c>
      <c r="C26" s="42" t="s">
        <v>142</v>
      </c>
      <c r="D26" s="10" t="s">
        <v>18</v>
      </c>
      <c r="E26" s="10"/>
      <c r="F26" s="10"/>
      <c r="G26" s="11" t="s">
        <v>19</v>
      </c>
      <c r="H26" s="11" t="s">
        <v>19</v>
      </c>
      <c r="I26" s="10"/>
      <c r="J26" s="10"/>
      <c r="K26" s="11" t="s">
        <v>19</v>
      </c>
      <c r="L26" s="11" t="s">
        <v>19</v>
      </c>
      <c r="M26" s="11" t="s">
        <v>19</v>
      </c>
      <c r="N26" s="11" t="s">
        <v>19</v>
      </c>
      <c r="O26" s="10"/>
      <c r="P26" s="11" t="s">
        <v>19</v>
      </c>
      <c r="Q26" s="11" t="s">
        <v>19</v>
      </c>
      <c r="R26" s="11" t="s">
        <v>19</v>
      </c>
      <c r="S26" s="10"/>
      <c r="T26" s="11" t="s">
        <v>19</v>
      </c>
      <c r="U26" s="11" t="s">
        <v>19</v>
      </c>
      <c r="V26" s="10"/>
      <c r="W26" s="10"/>
      <c r="X26" s="97" t="s">
        <v>19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39">
        <f>COUNTIFS(E26:AI27,"✓")/2</f>
        <v>12.5</v>
      </c>
      <c r="AK26" s="39">
        <f>SUM(O28:AG28,AH28)</f>
        <v>0</v>
      </c>
      <c r="AL26" s="44">
        <v>230000</v>
      </c>
      <c r="AM26" s="44">
        <v>25000</v>
      </c>
      <c r="AN26" s="44">
        <f>AL26*AJ26</f>
        <v>2875000</v>
      </c>
      <c r="AO26" s="44">
        <f>AM26*AK26</f>
        <v>0</v>
      </c>
      <c r="AP26" s="44">
        <f t="shared" ref="AP26" si="11">AL26*AJ26+AM26*AK26</f>
        <v>2875000</v>
      </c>
    </row>
    <row r="27" spans="1:42">
      <c r="A27" s="40"/>
      <c r="B27" s="40"/>
      <c r="C27" s="43"/>
      <c r="D27" s="10" t="s">
        <v>20</v>
      </c>
      <c r="E27" s="10"/>
      <c r="F27" s="11" t="s">
        <v>19</v>
      </c>
      <c r="G27" s="11" t="s">
        <v>19</v>
      </c>
      <c r="H27" s="11" t="s">
        <v>19</v>
      </c>
      <c r="I27" s="10"/>
      <c r="J27" s="10"/>
      <c r="K27" s="11" t="s">
        <v>19</v>
      </c>
      <c r="L27" s="11" t="s">
        <v>19</v>
      </c>
      <c r="M27" s="11" t="s">
        <v>19</v>
      </c>
      <c r="N27" s="11" t="s">
        <v>19</v>
      </c>
      <c r="O27" s="10"/>
      <c r="P27" s="11" t="s">
        <v>19</v>
      </c>
      <c r="Q27" s="11" t="s">
        <v>19</v>
      </c>
      <c r="R27" s="11" t="s">
        <v>19</v>
      </c>
      <c r="S27" s="10"/>
      <c r="T27" s="11" t="s">
        <v>19</v>
      </c>
      <c r="U27" s="11" t="s">
        <v>19</v>
      </c>
      <c r="V27" s="10"/>
      <c r="W27" s="10"/>
      <c r="X27" s="97" t="s">
        <v>19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40"/>
      <c r="AK27" s="40"/>
      <c r="AL27" s="45"/>
      <c r="AM27" s="45"/>
      <c r="AN27" s="45"/>
      <c r="AO27" s="45"/>
      <c r="AP27" s="45"/>
    </row>
    <row r="28" spans="1:42">
      <c r="A28" s="40"/>
      <c r="B28" s="40"/>
      <c r="C28" s="43"/>
      <c r="D28" s="12" t="s">
        <v>21</v>
      </c>
      <c r="E28" s="10"/>
      <c r="F28" s="10">
        <v>0.5</v>
      </c>
      <c r="G28" s="10">
        <v>3.5</v>
      </c>
      <c r="H28" s="10">
        <v>2.5</v>
      </c>
      <c r="I28" s="10"/>
      <c r="J28" s="10"/>
      <c r="K28" s="10"/>
      <c r="L28" s="10">
        <v>1</v>
      </c>
      <c r="M28" s="10">
        <v>1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40"/>
      <c r="AK28" s="40"/>
      <c r="AL28" s="46"/>
      <c r="AM28" s="46"/>
      <c r="AN28" s="46"/>
      <c r="AO28" s="46"/>
      <c r="AP28" s="46"/>
    </row>
    <row r="29" spans="1:42">
      <c r="A29" s="39">
        <f t="shared" ref="A29" si="12">A26+1</f>
        <v>9</v>
      </c>
      <c r="B29" s="39" t="s">
        <v>32</v>
      </c>
      <c r="C29" s="42" t="s">
        <v>24</v>
      </c>
      <c r="D29" s="10" t="s">
        <v>18</v>
      </c>
      <c r="E29" s="11" t="s">
        <v>19</v>
      </c>
      <c r="F29" s="10"/>
      <c r="G29" s="11" t="s">
        <v>19</v>
      </c>
      <c r="H29" s="11" t="s">
        <v>19</v>
      </c>
      <c r="I29" s="11"/>
      <c r="J29" s="10"/>
      <c r="K29" s="11" t="s">
        <v>19</v>
      </c>
      <c r="L29" s="11" t="s">
        <v>19</v>
      </c>
      <c r="M29" s="11" t="s">
        <v>19</v>
      </c>
      <c r="N29" s="10"/>
      <c r="O29" s="11" t="s">
        <v>19</v>
      </c>
      <c r="P29" s="10"/>
      <c r="Q29" s="11" t="s">
        <v>19</v>
      </c>
      <c r="R29" s="11" t="s">
        <v>19</v>
      </c>
      <c r="S29" s="11" t="s">
        <v>19</v>
      </c>
      <c r="T29" s="37" t="s">
        <v>19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39">
        <f>COUNTIFS(E29:AI30,"✓")/2</f>
        <v>11</v>
      </c>
      <c r="AK29" s="39">
        <f t="shared" ref="AK29" si="13">SUM(O31:AG31)</f>
        <v>0</v>
      </c>
      <c r="AL29" s="44">
        <v>230000</v>
      </c>
      <c r="AM29" s="44">
        <v>25000</v>
      </c>
      <c r="AN29" s="44">
        <f>AL29*AJ29</f>
        <v>2530000</v>
      </c>
      <c r="AO29" s="44">
        <f>AM29*AK29</f>
        <v>0</v>
      </c>
      <c r="AP29" s="44">
        <f t="shared" ref="AP29" si="14">AL29*AJ29+AM29*AK29</f>
        <v>2530000</v>
      </c>
    </row>
    <row r="30" spans="1:42">
      <c r="A30" s="40"/>
      <c r="B30" s="40"/>
      <c r="C30" s="43"/>
      <c r="D30" s="10" t="s">
        <v>20</v>
      </c>
      <c r="E30" s="11" t="s">
        <v>19</v>
      </c>
      <c r="F30" s="10"/>
      <c r="G30" s="11" t="s">
        <v>19</v>
      </c>
      <c r="H30" s="11" t="s">
        <v>19</v>
      </c>
      <c r="I30" s="11" t="s">
        <v>19</v>
      </c>
      <c r="J30" s="10"/>
      <c r="K30" s="11" t="s">
        <v>19</v>
      </c>
      <c r="L30" s="11" t="s">
        <v>19</v>
      </c>
      <c r="M30" s="10"/>
      <c r="N30" s="10"/>
      <c r="O30" s="11" t="s">
        <v>19</v>
      </c>
      <c r="P30" s="10"/>
      <c r="Q30" s="11" t="s">
        <v>19</v>
      </c>
      <c r="R30" s="11" t="s">
        <v>19</v>
      </c>
      <c r="S30" s="11" t="s">
        <v>19</v>
      </c>
      <c r="T30" s="37" t="s">
        <v>19</v>
      </c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40"/>
      <c r="AK30" s="40"/>
      <c r="AL30" s="45"/>
      <c r="AM30" s="45"/>
      <c r="AN30" s="45"/>
      <c r="AO30" s="45"/>
      <c r="AP30" s="45"/>
    </row>
    <row r="31" spans="1:42">
      <c r="A31" s="40"/>
      <c r="B31" s="40"/>
      <c r="C31" s="43"/>
      <c r="D31" s="12" t="s">
        <v>21</v>
      </c>
      <c r="E31" s="10">
        <v>1</v>
      </c>
      <c r="F31" s="10"/>
      <c r="G31" s="10">
        <v>3.5</v>
      </c>
      <c r="H31" s="10">
        <v>13</v>
      </c>
      <c r="I31" s="10">
        <v>3.5</v>
      </c>
      <c r="J31" s="10"/>
      <c r="K31" s="10"/>
      <c r="L31" s="10">
        <v>13</v>
      </c>
      <c r="M31" s="10">
        <v>0.5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40"/>
      <c r="AK31" s="40"/>
      <c r="AL31" s="46"/>
      <c r="AM31" s="46"/>
      <c r="AN31" s="46"/>
      <c r="AO31" s="46"/>
      <c r="AP31" s="46"/>
    </row>
    <row r="32" spans="1:42">
      <c r="A32" s="39">
        <f t="shared" ref="A32" si="15">A29+1</f>
        <v>10</v>
      </c>
      <c r="B32" s="39" t="s">
        <v>33</v>
      </c>
      <c r="C32" s="42" t="s">
        <v>24</v>
      </c>
      <c r="D32" s="10" t="s">
        <v>18</v>
      </c>
      <c r="E32" s="10"/>
      <c r="F32" s="10"/>
      <c r="G32" s="11" t="s">
        <v>19</v>
      </c>
      <c r="H32" s="11" t="s">
        <v>19</v>
      </c>
      <c r="I32" s="11" t="s">
        <v>19</v>
      </c>
      <c r="J32" s="11" t="s">
        <v>19</v>
      </c>
      <c r="K32" s="11" t="s">
        <v>19</v>
      </c>
      <c r="L32" s="11" t="s">
        <v>19</v>
      </c>
      <c r="M32" s="11" t="s">
        <v>19</v>
      </c>
      <c r="N32" s="11" t="s">
        <v>19</v>
      </c>
      <c r="O32" s="11" t="s">
        <v>19</v>
      </c>
      <c r="P32" s="11" t="s">
        <v>19</v>
      </c>
      <c r="Q32" s="11" t="s">
        <v>19</v>
      </c>
      <c r="R32" s="11" t="s">
        <v>19</v>
      </c>
      <c r="S32" s="11" t="s">
        <v>19</v>
      </c>
      <c r="T32" s="11" t="s">
        <v>19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39">
        <f>COUNTIFS(E32:AI33,"✓")/2</f>
        <v>15</v>
      </c>
      <c r="AK32" s="39">
        <f t="shared" ref="AK32" si="16">SUM(O34:AG34)</f>
        <v>0</v>
      </c>
      <c r="AL32" s="44">
        <v>230000</v>
      </c>
      <c r="AM32" s="44">
        <v>25000</v>
      </c>
      <c r="AN32" s="44">
        <f>AL32*AJ32</f>
        <v>3450000</v>
      </c>
      <c r="AO32" s="44">
        <f>AM32*AK32</f>
        <v>0</v>
      </c>
      <c r="AP32" s="44">
        <f t="shared" ref="AP32" si="17">AL32*AJ32+AM32*AK32</f>
        <v>3450000</v>
      </c>
    </row>
    <row r="33" spans="1:42">
      <c r="A33" s="40"/>
      <c r="B33" s="40"/>
      <c r="C33" s="43"/>
      <c r="D33" s="10" t="s">
        <v>20</v>
      </c>
      <c r="E33" s="11" t="s">
        <v>19</v>
      </c>
      <c r="F33" s="11" t="s">
        <v>19</v>
      </c>
      <c r="G33" s="11" t="s">
        <v>19</v>
      </c>
      <c r="H33" s="11" t="s">
        <v>19</v>
      </c>
      <c r="I33" s="11" t="s">
        <v>19</v>
      </c>
      <c r="J33" s="11" t="s">
        <v>19</v>
      </c>
      <c r="K33" s="11" t="s">
        <v>19</v>
      </c>
      <c r="L33" s="11" t="s">
        <v>19</v>
      </c>
      <c r="M33" s="11" t="s">
        <v>19</v>
      </c>
      <c r="N33" s="11" t="s">
        <v>19</v>
      </c>
      <c r="O33" s="11" t="s">
        <v>19</v>
      </c>
      <c r="P33" s="11" t="s">
        <v>19</v>
      </c>
      <c r="Q33" s="11" t="s">
        <v>19</v>
      </c>
      <c r="R33" s="11" t="s">
        <v>19</v>
      </c>
      <c r="S33" s="11" t="s">
        <v>19</v>
      </c>
      <c r="T33" s="11" t="s">
        <v>19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40"/>
      <c r="AK33" s="40"/>
      <c r="AL33" s="45"/>
      <c r="AM33" s="45"/>
      <c r="AN33" s="45"/>
      <c r="AO33" s="45"/>
      <c r="AP33" s="45"/>
    </row>
    <row r="34" spans="1:42">
      <c r="A34" s="40"/>
      <c r="B34" s="40"/>
      <c r="C34" s="43"/>
      <c r="D34" s="12" t="s">
        <v>21</v>
      </c>
      <c r="E34" s="10">
        <v>0.5</v>
      </c>
      <c r="F34" s="10">
        <v>0.5</v>
      </c>
      <c r="G34" s="10">
        <v>1</v>
      </c>
      <c r="H34" s="10">
        <v>12</v>
      </c>
      <c r="I34" s="10">
        <v>4</v>
      </c>
      <c r="J34" s="10">
        <v>1</v>
      </c>
      <c r="K34" s="10"/>
      <c r="L34" s="10">
        <v>1</v>
      </c>
      <c r="M34" s="10">
        <v>13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40"/>
      <c r="AK34" s="40"/>
      <c r="AL34" s="46"/>
      <c r="AM34" s="46"/>
      <c r="AN34" s="46"/>
      <c r="AO34" s="46"/>
      <c r="AP34" s="46"/>
    </row>
    <row r="35" spans="1:42">
      <c r="A35" s="39">
        <f t="shared" ref="A35" si="18">A32+1</f>
        <v>11</v>
      </c>
      <c r="B35" s="39" t="s">
        <v>34</v>
      </c>
      <c r="C35" s="42" t="s">
        <v>24</v>
      </c>
      <c r="D35" s="10" t="s">
        <v>18</v>
      </c>
      <c r="E35" s="10"/>
      <c r="F35" s="10"/>
      <c r="G35" s="11" t="s">
        <v>19</v>
      </c>
      <c r="H35" s="11" t="s">
        <v>19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39">
        <f>COUNTIFS(E35:AI36,"✓")/2</f>
        <v>2.5</v>
      </c>
      <c r="AK35" s="39">
        <f>SUM(O37:AG37,AH37)</f>
        <v>0</v>
      </c>
      <c r="AL35" s="44">
        <v>380000</v>
      </c>
      <c r="AM35" s="44">
        <v>40000</v>
      </c>
      <c r="AN35" s="44">
        <f>AL35*AJ35</f>
        <v>950000</v>
      </c>
      <c r="AO35" s="44">
        <f>AM35*AK35</f>
        <v>0</v>
      </c>
      <c r="AP35" s="44">
        <f t="shared" ref="AP35" si="19">AL35*AJ35+AM35*AK35</f>
        <v>950000</v>
      </c>
    </row>
    <row r="36" spans="1:42">
      <c r="A36" s="40"/>
      <c r="B36" s="40"/>
      <c r="C36" s="43"/>
      <c r="D36" s="10" t="s">
        <v>20</v>
      </c>
      <c r="E36" s="11" t="s">
        <v>19</v>
      </c>
      <c r="F36" s="10"/>
      <c r="G36" s="11" t="s">
        <v>19</v>
      </c>
      <c r="H36" s="11" t="s">
        <v>19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40"/>
      <c r="AK36" s="40"/>
      <c r="AL36" s="45"/>
      <c r="AM36" s="45"/>
      <c r="AN36" s="45"/>
      <c r="AO36" s="45"/>
      <c r="AP36" s="45"/>
    </row>
    <row r="37" spans="1:42">
      <c r="A37" s="40"/>
      <c r="B37" s="40"/>
      <c r="C37" s="43"/>
      <c r="D37" s="12" t="s">
        <v>21</v>
      </c>
      <c r="E37" s="10">
        <v>0.5</v>
      </c>
      <c r="F37" s="10"/>
      <c r="G37" s="10">
        <v>1</v>
      </c>
      <c r="H37" s="10">
        <v>12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40"/>
      <c r="AK37" s="40"/>
      <c r="AL37" s="46"/>
      <c r="AM37" s="46"/>
      <c r="AN37" s="46"/>
      <c r="AO37" s="46"/>
      <c r="AP37" s="46"/>
    </row>
    <row r="38" spans="1:42">
      <c r="A38" s="39">
        <f t="shared" ref="A38" si="20">A35+1</f>
        <v>12</v>
      </c>
      <c r="B38" s="39" t="s">
        <v>35</v>
      </c>
      <c r="C38" s="42" t="s">
        <v>24</v>
      </c>
      <c r="D38" s="10" t="s">
        <v>18</v>
      </c>
      <c r="E38" s="10"/>
      <c r="F38" s="11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39">
        <f>COUNTIFS(E38:AI39,"✓")/2</f>
        <v>0.5</v>
      </c>
      <c r="AK38" s="39">
        <f t="shared" ref="AK38" si="21">SUM(O40:AG40)</f>
        <v>0</v>
      </c>
      <c r="AL38" s="44">
        <v>230000</v>
      </c>
      <c r="AM38" s="44">
        <v>25000</v>
      </c>
      <c r="AN38" s="44">
        <f>AL38*AJ38</f>
        <v>115000</v>
      </c>
      <c r="AO38" s="44">
        <f>AM38*AK38</f>
        <v>0</v>
      </c>
      <c r="AP38" s="44">
        <f t="shared" ref="AP38" si="22">AL38*AJ38+AM38*AK38</f>
        <v>115000</v>
      </c>
    </row>
    <row r="39" spans="1:42">
      <c r="A39" s="40"/>
      <c r="B39" s="40"/>
      <c r="C39" s="43"/>
      <c r="D39" s="10" t="s">
        <v>20</v>
      </c>
      <c r="E39" s="10"/>
      <c r="F39" s="11" t="s">
        <v>19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0"/>
      <c r="AK39" s="40"/>
      <c r="AL39" s="45"/>
      <c r="AM39" s="45"/>
      <c r="AN39" s="45"/>
      <c r="AO39" s="45"/>
      <c r="AP39" s="45"/>
    </row>
    <row r="40" spans="1:42">
      <c r="A40" s="40"/>
      <c r="B40" s="40"/>
      <c r="C40" s="43"/>
      <c r="D40" s="12" t="s">
        <v>21</v>
      </c>
      <c r="E40" s="10"/>
      <c r="F40" s="10">
        <v>0.5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40"/>
      <c r="AK40" s="40"/>
      <c r="AL40" s="46"/>
      <c r="AM40" s="46"/>
      <c r="AN40" s="46"/>
      <c r="AO40" s="46"/>
      <c r="AP40" s="46"/>
    </row>
    <row r="41" spans="1:42">
      <c r="A41" s="39">
        <f t="shared" ref="A41" si="23">A38+1</f>
        <v>13</v>
      </c>
      <c r="B41" s="39" t="s">
        <v>36</v>
      </c>
      <c r="C41" s="42" t="s">
        <v>24</v>
      </c>
      <c r="D41" s="10" t="s">
        <v>18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39">
        <f>COUNTIFS(E41:AI42,"✓")/2</f>
        <v>0.5</v>
      </c>
      <c r="AK41" s="39">
        <f t="shared" ref="AK41" si="24">SUM(O43:AG43)</f>
        <v>0</v>
      </c>
      <c r="AL41" s="44">
        <v>230000</v>
      </c>
      <c r="AM41" s="44">
        <v>25000</v>
      </c>
      <c r="AN41" s="44">
        <f>AL41*AJ41</f>
        <v>115000</v>
      </c>
      <c r="AO41" s="44">
        <f>AM41*AK41</f>
        <v>0</v>
      </c>
      <c r="AP41" s="44">
        <f t="shared" ref="AP41" si="25">AL41*AJ41+AM41*AK41</f>
        <v>115000</v>
      </c>
    </row>
    <row r="42" spans="1:42">
      <c r="A42" s="40"/>
      <c r="B42" s="40"/>
      <c r="C42" s="43"/>
      <c r="D42" s="10" t="s">
        <v>20</v>
      </c>
      <c r="E42" s="10"/>
      <c r="F42" s="11" t="s">
        <v>19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40"/>
      <c r="AK42" s="40"/>
      <c r="AL42" s="45"/>
      <c r="AM42" s="45"/>
      <c r="AN42" s="45"/>
      <c r="AO42" s="45"/>
      <c r="AP42" s="45"/>
    </row>
    <row r="43" spans="1:42">
      <c r="A43" s="40"/>
      <c r="B43" s="40"/>
      <c r="C43" s="43"/>
      <c r="D43" s="12" t="s">
        <v>21</v>
      </c>
      <c r="E43" s="10"/>
      <c r="F43" s="10">
        <v>0.5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40"/>
      <c r="AK43" s="40"/>
      <c r="AL43" s="46"/>
      <c r="AM43" s="46"/>
      <c r="AN43" s="46"/>
      <c r="AO43" s="46"/>
      <c r="AP43" s="46"/>
    </row>
    <row r="44" spans="1:42">
      <c r="A44" s="39">
        <f t="shared" ref="A44" si="26">A41+1</f>
        <v>14</v>
      </c>
      <c r="B44" s="39" t="s">
        <v>45</v>
      </c>
      <c r="C44" s="42" t="s">
        <v>24</v>
      </c>
      <c r="D44" s="10" t="s">
        <v>18</v>
      </c>
      <c r="E44" s="10"/>
      <c r="F44" s="10"/>
      <c r="G44" s="11" t="s">
        <v>19</v>
      </c>
      <c r="H44" s="10"/>
      <c r="I44" s="11" t="s">
        <v>19</v>
      </c>
      <c r="J44" s="10"/>
      <c r="K44" s="11" t="s">
        <v>19</v>
      </c>
      <c r="L44" s="10"/>
      <c r="M44" s="11" t="s">
        <v>19</v>
      </c>
      <c r="N44" s="10"/>
      <c r="O44" s="11" t="s">
        <v>19</v>
      </c>
      <c r="P44" s="11" t="s">
        <v>19</v>
      </c>
      <c r="Q44" s="11" t="s">
        <v>19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39">
        <f>COUNTIFS(E44:AI45,"✓")/2</f>
        <v>7</v>
      </c>
      <c r="AK44" s="39">
        <f>SUM(O46:AG46,AH46)</f>
        <v>0</v>
      </c>
      <c r="AL44" s="44">
        <v>230000</v>
      </c>
      <c r="AM44" s="44">
        <v>25000</v>
      </c>
      <c r="AN44" s="44">
        <f>AL44*AJ44</f>
        <v>1610000</v>
      </c>
      <c r="AO44" s="44">
        <f>AM44*AK44</f>
        <v>0</v>
      </c>
      <c r="AP44" s="44">
        <f t="shared" ref="AP44" si="27">AL44*AJ44+AM44*AK44</f>
        <v>1610000</v>
      </c>
    </row>
    <row r="45" spans="1:42">
      <c r="A45" s="40"/>
      <c r="B45" s="40"/>
      <c r="C45" s="43"/>
      <c r="D45" s="10" t="s">
        <v>20</v>
      </c>
      <c r="E45" s="10"/>
      <c r="F45" s="10"/>
      <c r="G45" s="11" t="s">
        <v>19</v>
      </c>
      <c r="H45" s="10"/>
      <c r="I45" s="11" t="s">
        <v>19</v>
      </c>
      <c r="J45" s="10"/>
      <c r="K45" s="11" t="s">
        <v>19</v>
      </c>
      <c r="L45" s="10"/>
      <c r="M45" s="11" t="s">
        <v>19</v>
      </c>
      <c r="N45" s="10"/>
      <c r="O45" s="11" t="s">
        <v>19</v>
      </c>
      <c r="P45" s="11" t="s">
        <v>19</v>
      </c>
      <c r="Q45" s="11" t="s">
        <v>19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40"/>
      <c r="AK45" s="40"/>
      <c r="AL45" s="45"/>
      <c r="AM45" s="45"/>
      <c r="AN45" s="45"/>
      <c r="AO45" s="45"/>
      <c r="AP45" s="45"/>
    </row>
    <row r="46" spans="1:42">
      <c r="A46" s="40"/>
      <c r="B46" s="40"/>
      <c r="C46" s="43"/>
      <c r="D46" s="12" t="s">
        <v>21</v>
      </c>
      <c r="E46" s="10"/>
      <c r="F46" s="10"/>
      <c r="G46" s="10">
        <v>1</v>
      </c>
      <c r="H46" s="10"/>
      <c r="I46" s="10">
        <v>1</v>
      </c>
      <c r="J46" s="10"/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40"/>
      <c r="AK46" s="40"/>
      <c r="AL46" s="46"/>
      <c r="AM46" s="46"/>
      <c r="AN46" s="46"/>
      <c r="AO46" s="46"/>
      <c r="AP46" s="46"/>
    </row>
    <row r="47" spans="1:42">
      <c r="A47" s="39">
        <f t="shared" ref="A47" si="28">A44+1</f>
        <v>15</v>
      </c>
      <c r="B47" s="39" t="s">
        <v>37</v>
      </c>
      <c r="C47" s="42" t="s">
        <v>24</v>
      </c>
      <c r="D47" s="10" t="s">
        <v>18</v>
      </c>
      <c r="E47" s="10"/>
      <c r="F47" s="10"/>
      <c r="G47" s="11" t="s">
        <v>19</v>
      </c>
      <c r="H47" s="11" t="s">
        <v>19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39">
        <f>COUNTIFS(E47:AI48,"✓")/2</f>
        <v>2</v>
      </c>
      <c r="AK47" s="39">
        <f>SUM(O49:AG49,AH49)</f>
        <v>0</v>
      </c>
      <c r="AL47" s="44">
        <v>380000</v>
      </c>
      <c r="AM47" s="44">
        <v>40000</v>
      </c>
      <c r="AN47" s="44">
        <f>AL47*AJ47</f>
        <v>760000</v>
      </c>
      <c r="AO47" s="44">
        <f>AM47*AK47</f>
        <v>0</v>
      </c>
      <c r="AP47" s="44">
        <f t="shared" ref="AP47" si="29">AL47*AJ47+AM47*AK47</f>
        <v>760000</v>
      </c>
    </row>
    <row r="48" spans="1:42">
      <c r="A48" s="40"/>
      <c r="B48" s="40"/>
      <c r="C48" s="43"/>
      <c r="D48" s="10" t="s">
        <v>20</v>
      </c>
      <c r="E48" s="10"/>
      <c r="F48" s="10"/>
      <c r="G48" s="11" t="s">
        <v>19</v>
      </c>
      <c r="H48" s="11" t="s">
        <v>19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40"/>
      <c r="AK48" s="40"/>
      <c r="AL48" s="45"/>
      <c r="AM48" s="45"/>
      <c r="AN48" s="45"/>
      <c r="AO48" s="45"/>
      <c r="AP48" s="45"/>
    </row>
    <row r="49" spans="1:42">
      <c r="A49" s="40"/>
      <c r="B49" s="40"/>
      <c r="C49" s="43"/>
      <c r="D49" s="12" t="s">
        <v>21</v>
      </c>
      <c r="E49" s="10"/>
      <c r="F49" s="10"/>
      <c r="G49" s="10">
        <v>1</v>
      </c>
      <c r="H49" s="10">
        <v>12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40"/>
      <c r="AK49" s="40"/>
      <c r="AL49" s="46"/>
      <c r="AM49" s="46"/>
      <c r="AN49" s="46"/>
      <c r="AO49" s="46"/>
      <c r="AP49" s="46"/>
    </row>
    <row r="50" spans="1:42">
      <c r="A50" s="39">
        <f t="shared" ref="A50" si="30">A47+1</f>
        <v>16</v>
      </c>
      <c r="B50" s="39" t="s">
        <v>38</v>
      </c>
      <c r="C50" s="42" t="s">
        <v>24</v>
      </c>
      <c r="D50" s="10" t="s">
        <v>18</v>
      </c>
      <c r="E50" s="10"/>
      <c r="F50" s="10"/>
      <c r="G50" s="11"/>
      <c r="H50" s="11" t="s">
        <v>19</v>
      </c>
      <c r="I50" s="11" t="s">
        <v>19</v>
      </c>
      <c r="J50" s="10"/>
      <c r="K50" s="10"/>
      <c r="L50" s="11" t="s">
        <v>19</v>
      </c>
      <c r="M50" s="10"/>
      <c r="N50" s="10"/>
      <c r="O50" s="11" t="s">
        <v>19</v>
      </c>
      <c r="P50" s="11" t="s">
        <v>19</v>
      </c>
      <c r="Q50" s="11" t="s">
        <v>19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39">
        <f>COUNTIFS(E50:AI51,"✓")/2</f>
        <v>6</v>
      </c>
      <c r="AK50" s="39">
        <f>SUM(O52:AG52,AH52)</f>
        <v>0</v>
      </c>
      <c r="AL50" s="44">
        <v>230000</v>
      </c>
      <c r="AM50" s="44">
        <v>25000</v>
      </c>
      <c r="AN50" s="44">
        <f>AL50*AJ50</f>
        <v>1380000</v>
      </c>
      <c r="AO50" s="44">
        <f>AM50*AK50</f>
        <v>0</v>
      </c>
      <c r="AP50" s="44">
        <f t="shared" ref="AP50" si="31">AL50*AJ50+AM50*AK50</f>
        <v>1380000</v>
      </c>
    </row>
    <row r="51" spans="1:42">
      <c r="A51" s="40"/>
      <c r="B51" s="40"/>
      <c r="C51" s="43"/>
      <c r="D51" s="10" t="s">
        <v>20</v>
      </c>
      <c r="E51" s="10"/>
      <c r="F51" s="10"/>
      <c r="G51" s="11"/>
      <c r="H51" s="11" t="s">
        <v>19</v>
      </c>
      <c r="I51" s="11" t="s">
        <v>19</v>
      </c>
      <c r="J51" s="10"/>
      <c r="K51" s="10"/>
      <c r="L51" s="11" t="s">
        <v>19</v>
      </c>
      <c r="M51" s="10"/>
      <c r="N51" s="10"/>
      <c r="O51" s="11" t="s">
        <v>19</v>
      </c>
      <c r="P51" s="11" t="s">
        <v>19</v>
      </c>
      <c r="Q51" s="11" t="s">
        <v>19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40"/>
      <c r="AK51" s="40"/>
      <c r="AL51" s="45"/>
      <c r="AM51" s="45"/>
      <c r="AN51" s="45"/>
      <c r="AO51" s="45"/>
      <c r="AP51" s="45"/>
    </row>
    <row r="52" spans="1:42">
      <c r="A52" s="40"/>
      <c r="B52" s="40"/>
      <c r="C52" s="43"/>
      <c r="D52" s="12" t="s">
        <v>21</v>
      </c>
      <c r="E52" s="10"/>
      <c r="F52" s="10"/>
      <c r="G52" s="10"/>
      <c r="H52" s="10">
        <v>12</v>
      </c>
      <c r="I52" s="10">
        <v>4</v>
      </c>
      <c r="J52" s="10"/>
      <c r="K52" s="10"/>
      <c r="L52" s="10">
        <v>1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40"/>
      <c r="AK52" s="40"/>
      <c r="AL52" s="46"/>
      <c r="AM52" s="46"/>
      <c r="AN52" s="46"/>
      <c r="AO52" s="46"/>
      <c r="AP52" s="46"/>
    </row>
    <row r="53" spans="1:42">
      <c r="A53" s="39">
        <f t="shared" ref="A53" si="32">A50+1</f>
        <v>17</v>
      </c>
      <c r="B53" s="39" t="s">
        <v>46</v>
      </c>
      <c r="C53" s="42" t="s">
        <v>17</v>
      </c>
      <c r="D53" s="10" t="s">
        <v>18</v>
      </c>
      <c r="E53" s="10"/>
      <c r="F53" s="10"/>
      <c r="G53" s="10"/>
      <c r="H53" s="10"/>
      <c r="I53" s="11" t="s">
        <v>19</v>
      </c>
      <c r="J53" s="11" t="s">
        <v>19</v>
      </c>
      <c r="K53" s="11" t="s">
        <v>19</v>
      </c>
      <c r="L53" s="11" t="s">
        <v>19</v>
      </c>
      <c r="M53" s="11" t="s">
        <v>19</v>
      </c>
      <c r="N53" s="11" t="s">
        <v>19</v>
      </c>
      <c r="O53" s="11" t="s">
        <v>19</v>
      </c>
      <c r="P53" s="11" t="s">
        <v>19</v>
      </c>
      <c r="Q53" s="11" t="s">
        <v>19</v>
      </c>
      <c r="R53" s="11" t="s">
        <v>19</v>
      </c>
      <c r="S53" s="11" t="s">
        <v>19</v>
      </c>
      <c r="T53" s="11" t="s">
        <v>19</v>
      </c>
      <c r="U53" s="11" t="s">
        <v>19</v>
      </c>
      <c r="V53" s="10"/>
      <c r="W53" s="97" t="s">
        <v>19</v>
      </c>
      <c r="X53" s="97" t="s">
        <v>19</v>
      </c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39">
        <f>COUNTIFS(E53:AI54,"✓")/2</f>
        <v>15</v>
      </c>
      <c r="AK53" s="39">
        <f>SUM(O55:AG55,AH55)</f>
        <v>2</v>
      </c>
      <c r="AL53" s="44">
        <v>230000</v>
      </c>
      <c r="AM53" s="44">
        <v>25000</v>
      </c>
      <c r="AN53" s="44">
        <f>AL53*AJ53</f>
        <v>3450000</v>
      </c>
      <c r="AO53" s="44">
        <f>AM53*AK53</f>
        <v>50000</v>
      </c>
      <c r="AP53" s="44">
        <f t="shared" ref="AP53" si="33">AL53*AJ53+AM53*AK53</f>
        <v>3500000</v>
      </c>
    </row>
    <row r="54" spans="1:42">
      <c r="A54" s="40"/>
      <c r="B54" s="40"/>
      <c r="C54" s="43"/>
      <c r="D54" s="10" t="s">
        <v>20</v>
      </c>
      <c r="E54" s="10"/>
      <c r="F54" s="10"/>
      <c r="G54" s="10"/>
      <c r="H54" s="10"/>
      <c r="I54" s="11" t="s">
        <v>19</v>
      </c>
      <c r="J54" s="11" t="s">
        <v>19</v>
      </c>
      <c r="K54" s="11" t="s">
        <v>19</v>
      </c>
      <c r="L54" s="11" t="s">
        <v>19</v>
      </c>
      <c r="M54" s="11" t="s">
        <v>19</v>
      </c>
      <c r="N54" s="11" t="s">
        <v>19</v>
      </c>
      <c r="O54" s="11" t="s">
        <v>19</v>
      </c>
      <c r="P54" s="11" t="s">
        <v>19</v>
      </c>
      <c r="Q54" s="11" t="s">
        <v>19</v>
      </c>
      <c r="R54" s="11" t="s">
        <v>19</v>
      </c>
      <c r="S54" s="11" t="s">
        <v>19</v>
      </c>
      <c r="T54" s="11" t="s">
        <v>19</v>
      </c>
      <c r="U54" s="11" t="s">
        <v>19</v>
      </c>
      <c r="V54" s="10"/>
      <c r="W54" s="97" t="s">
        <v>19</v>
      </c>
      <c r="X54" s="97" t="s">
        <v>19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40"/>
      <c r="AK54" s="40"/>
      <c r="AL54" s="45"/>
      <c r="AM54" s="45"/>
      <c r="AN54" s="45"/>
      <c r="AO54" s="45"/>
      <c r="AP54" s="45"/>
    </row>
    <row r="55" spans="1:42">
      <c r="A55" s="40"/>
      <c r="B55" s="40"/>
      <c r="C55" s="43"/>
      <c r="D55" s="12" t="s">
        <v>21</v>
      </c>
      <c r="E55" s="10"/>
      <c r="F55" s="10"/>
      <c r="G55" s="10"/>
      <c r="H55" s="10"/>
      <c r="I55" s="10"/>
      <c r="J55" s="10">
        <v>1</v>
      </c>
      <c r="K55" s="10"/>
      <c r="L55" s="10">
        <v>1</v>
      </c>
      <c r="M55" s="10">
        <v>1</v>
      </c>
      <c r="N55" s="10"/>
      <c r="O55" s="10"/>
      <c r="P55" s="10"/>
      <c r="Q55" s="10"/>
      <c r="R55" s="10"/>
      <c r="S55" s="10">
        <v>2</v>
      </c>
      <c r="T55" s="10"/>
      <c r="U55" s="11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40"/>
      <c r="AK55" s="40"/>
      <c r="AL55" s="46"/>
      <c r="AM55" s="46"/>
      <c r="AN55" s="46"/>
      <c r="AO55" s="46"/>
      <c r="AP55" s="46"/>
    </row>
    <row r="56" spans="1:42">
      <c r="A56" s="39">
        <f t="shared" ref="A56" si="34">A53+1</f>
        <v>18</v>
      </c>
      <c r="B56" s="39" t="s">
        <v>39</v>
      </c>
      <c r="C56" s="42" t="s">
        <v>17</v>
      </c>
      <c r="D56" s="10" t="s">
        <v>18</v>
      </c>
      <c r="E56" s="10"/>
      <c r="F56" s="10"/>
      <c r="G56" s="10"/>
      <c r="H56" s="10"/>
      <c r="I56" s="11" t="s">
        <v>19</v>
      </c>
      <c r="J56" s="11" t="s">
        <v>19</v>
      </c>
      <c r="K56" s="10"/>
      <c r="L56" s="11" t="s">
        <v>19</v>
      </c>
      <c r="M56" s="11" t="s">
        <v>19</v>
      </c>
      <c r="N56" s="11" t="s">
        <v>19</v>
      </c>
      <c r="O56" s="11" t="s">
        <v>19</v>
      </c>
      <c r="P56" s="10"/>
      <c r="Q56" s="11" t="s">
        <v>19</v>
      </c>
      <c r="R56" s="10"/>
      <c r="S56" s="11" t="s">
        <v>19</v>
      </c>
      <c r="T56" s="11" t="s">
        <v>19</v>
      </c>
      <c r="U56" s="11" t="s">
        <v>19</v>
      </c>
      <c r="V56" s="10"/>
      <c r="W56" s="97" t="s">
        <v>19</v>
      </c>
      <c r="X56" s="97" t="s">
        <v>19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39">
        <f>COUNTIFS(E56:AI57,"✓")/2</f>
        <v>12</v>
      </c>
      <c r="AK56" s="39">
        <f>SUM(O58:AG58,AH58)</f>
        <v>0</v>
      </c>
      <c r="AL56" s="44">
        <v>230000</v>
      </c>
      <c r="AM56" s="44">
        <v>25000</v>
      </c>
      <c r="AN56" s="44">
        <f>AL56*AJ56</f>
        <v>2760000</v>
      </c>
      <c r="AO56" s="44">
        <f>AM56*AK56</f>
        <v>0</v>
      </c>
      <c r="AP56" s="44">
        <f t="shared" ref="AP56" si="35">AL56*AJ56+AM56*AK56</f>
        <v>2760000</v>
      </c>
    </row>
    <row r="57" spans="1:42">
      <c r="A57" s="40"/>
      <c r="B57" s="40"/>
      <c r="C57" s="43"/>
      <c r="D57" s="10" t="s">
        <v>20</v>
      </c>
      <c r="E57" s="10"/>
      <c r="F57" s="10"/>
      <c r="G57" s="10"/>
      <c r="H57" s="10"/>
      <c r="I57" s="11" t="s">
        <v>19</v>
      </c>
      <c r="J57" s="11" t="s">
        <v>19</v>
      </c>
      <c r="K57" s="10"/>
      <c r="L57" s="11" t="s">
        <v>19</v>
      </c>
      <c r="M57" s="11" t="s">
        <v>19</v>
      </c>
      <c r="N57" s="11" t="s">
        <v>19</v>
      </c>
      <c r="O57" s="11" t="s">
        <v>19</v>
      </c>
      <c r="P57" s="10"/>
      <c r="Q57" s="11" t="s">
        <v>19</v>
      </c>
      <c r="R57" s="10"/>
      <c r="S57" s="11" t="s">
        <v>19</v>
      </c>
      <c r="T57" s="11" t="s">
        <v>19</v>
      </c>
      <c r="U57" s="11" t="s">
        <v>19</v>
      </c>
      <c r="V57" s="10"/>
      <c r="W57" s="97" t="s">
        <v>19</v>
      </c>
      <c r="X57" s="97" t="s">
        <v>19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40"/>
      <c r="AK57" s="40"/>
      <c r="AL57" s="45"/>
      <c r="AM57" s="45"/>
      <c r="AN57" s="45"/>
      <c r="AO57" s="45"/>
      <c r="AP57" s="45"/>
    </row>
    <row r="58" spans="1:42">
      <c r="A58" s="40"/>
      <c r="B58" s="40"/>
      <c r="C58" s="43"/>
      <c r="D58" s="12" t="s">
        <v>21</v>
      </c>
      <c r="E58" s="10"/>
      <c r="F58" s="10"/>
      <c r="G58" s="10"/>
      <c r="H58" s="10"/>
      <c r="I58" s="10">
        <v>1</v>
      </c>
      <c r="J58" s="10">
        <v>1</v>
      </c>
      <c r="K58" s="10"/>
      <c r="L58" s="10">
        <v>1</v>
      </c>
      <c r="M58" s="10">
        <v>1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40"/>
      <c r="AK58" s="40"/>
      <c r="AL58" s="46"/>
      <c r="AM58" s="46"/>
      <c r="AN58" s="46"/>
      <c r="AO58" s="46"/>
      <c r="AP58" s="46"/>
    </row>
    <row r="59" spans="1:42">
      <c r="A59" s="39">
        <f t="shared" ref="A59" si="36">A56+1</f>
        <v>19</v>
      </c>
      <c r="B59" s="39" t="s">
        <v>40</v>
      </c>
      <c r="C59" s="42" t="s">
        <v>17</v>
      </c>
      <c r="D59" s="10" t="s">
        <v>18</v>
      </c>
      <c r="E59" s="10"/>
      <c r="F59" s="10"/>
      <c r="G59" s="10"/>
      <c r="H59" s="10"/>
      <c r="I59" s="11" t="s">
        <v>19</v>
      </c>
      <c r="J59" s="11" t="s">
        <v>19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39">
        <f>COUNTIFS(E59:AI60,"✓")/2</f>
        <v>2</v>
      </c>
      <c r="AK59" s="39">
        <f t="shared" ref="AK59" si="37">SUM(O61:AG61)</f>
        <v>0</v>
      </c>
      <c r="AL59" s="44">
        <v>280000</v>
      </c>
      <c r="AM59" s="44">
        <v>30000</v>
      </c>
      <c r="AN59" s="44">
        <f>AL59*AJ59</f>
        <v>560000</v>
      </c>
      <c r="AO59" s="44">
        <f>AM59*AK59</f>
        <v>0</v>
      </c>
      <c r="AP59" s="44">
        <f t="shared" ref="AP59" si="38">AL59*AJ59+AM59*AK59</f>
        <v>560000</v>
      </c>
    </row>
    <row r="60" spans="1:42">
      <c r="A60" s="40"/>
      <c r="B60" s="40"/>
      <c r="C60" s="43"/>
      <c r="D60" s="10" t="s">
        <v>20</v>
      </c>
      <c r="E60" s="10"/>
      <c r="F60" s="10"/>
      <c r="G60" s="10"/>
      <c r="H60" s="10"/>
      <c r="I60" s="11" t="s">
        <v>19</v>
      </c>
      <c r="J60" s="11" t="s">
        <v>19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40"/>
      <c r="AK60" s="40"/>
      <c r="AL60" s="45"/>
      <c r="AM60" s="45"/>
      <c r="AN60" s="45"/>
      <c r="AO60" s="45"/>
      <c r="AP60" s="45"/>
    </row>
    <row r="61" spans="1:42">
      <c r="A61" s="40"/>
      <c r="B61" s="40"/>
      <c r="C61" s="43"/>
      <c r="D61" s="12" t="s">
        <v>21</v>
      </c>
      <c r="E61" s="10"/>
      <c r="F61" s="10"/>
      <c r="G61" s="10"/>
      <c r="H61" s="10"/>
      <c r="I61" s="10">
        <v>1</v>
      </c>
      <c r="J61" s="10">
        <v>1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40"/>
      <c r="AK61" s="40"/>
      <c r="AL61" s="46"/>
      <c r="AM61" s="46"/>
      <c r="AN61" s="46"/>
      <c r="AO61" s="46"/>
      <c r="AP61" s="46"/>
    </row>
    <row r="62" spans="1:42">
      <c r="A62" s="39">
        <f t="shared" ref="A62" si="39">A59+1</f>
        <v>20</v>
      </c>
      <c r="B62" s="39" t="s">
        <v>47</v>
      </c>
      <c r="C62" s="42" t="s">
        <v>17</v>
      </c>
      <c r="D62" s="10" t="s">
        <v>18</v>
      </c>
      <c r="E62" s="10"/>
      <c r="F62" s="10"/>
      <c r="G62" s="10"/>
      <c r="H62" s="10"/>
      <c r="I62" s="11" t="s">
        <v>19</v>
      </c>
      <c r="J62" s="11" t="s">
        <v>19</v>
      </c>
      <c r="K62" s="10"/>
      <c r="L62" s="11" t="s">
        <v>19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39">
        <f>COUNTIFS(E62:AI63,"✓")/2</f>
        <v>3</v>
      </c>
      <c r="AK62" s="39">
        <f>SUM(O64:AG64,AH64)</f>
        <v>0</v>
      </c>
      <c r="AL62" s="44">
        <v>230000</v>
      </c>
      <c r="AM62" s="44">
        <v>25000</v>
      </c>
      <c r="AN62" s="44">
        <f>AL62*AJ62</f>
        <v>690000</v>
      </c>
      <c r="AO62" s="44">
        <f>AM62*AK62</f>
        <v>0</v>
      </c>
      <c r="AP62" s="44">
        <f t="shared" ref="AP62" si="40">AL62*AJ62+AM62*AK62</f>
        <v>690000</v>
      </c>
    </row>
    <row r="63" spans="1:42">
      <c r="A63" s="40"/>
      <c r="B63" s="40"/>
      <c r="C63" s="43"/>
      <c r="D63" s="10" t="s">
        <v>20</v>
      </c>
      <c r="E63" s="10"/>
      <c r="F63" s="10"/>
      <c r="G63" s="10"/>
      <c r="H63" s="10"/>
      <c r="I63" s="11" t="s">
        <v>19</v>
      </c>
      <c r="J63" s="11" t="s">
        <v>19</v>
      </c>
      <c r="K63" s="10"/>
      <c r="L63" s="11" t="s">
        <v>19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40"/>
      <c r="AK63" s="40"/>
      <c r="AL63" s="45"/>
      <c r="AM63" s="45"/>
      <c r="AN63" s="45"/>
      <c r="AO63" s="45"/>
      <c r="AP63" s="45"/>
    </row>
    <row r="64" spans="1:42">
      <c r="A64" s="40"/>
      <c r="B64" s="40"/>
      <c r="C64" s="43"/>
      <c r="D64" s="12" t="s">
        <v>21</v>
      </c>
      <c r="E64" s="9"/>
      <c r="F64" s="9"/>
      <c r="G64" s="9"/>
      <c r="H64" s="9"/>
      <c r="I64" s="9">
        <v>1</v>
      </c>
      <c r="J64" s="9">
        <v>1</v>
      </c>
      <c r="K64" s="9"/>
      <c r="L64" s="9">
        <v>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40"/>
      <c r="AK64" s="40"/>
      <c r="AL64" s="46"/>
      <c r="AM64" s="46"/>
      <c r="AN64" s="46"/>
      <c r="AO64" s="46"/>
      <c r="AP64" s="46"/>
    </row>
    <row r="65" spans="1:42">
      <c r="A65" s="39">
        <f t="shared" ref="A65" si="41">A62+1</f>
        <v>21</v>
      </c>
      <c r="B65" s="39" t="s">
        <v>41</v>
      </c>
      <c r="C65" s="42" t="s">
        <v>17</v>
      </c>
      <c r="D65" s="10" t="s">
        <v>18</v>
      </c>
      <c r="E65" s="9"/>
      <c r="F65" s="9"/>
      <c r="G65" s="9"/>
      <c r="H65" s="9"/>
      <c r="I65" s="11" t="s">
        <v>19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39">
        <f>COUNTIFS(E65:AI66,"✓")/2</f>
        <v>0.5</v>
      </c>
      <c r="AK65" s="39">
        <f t="shared" ref="AK65" si="42">SUM(O67:AG67)</f>
        <v>0</v>
      </c>
      <c r="AL65" s="44">
        <v>230000</v>
      </c>
      <c r="AM65" s="44">
        <v>25000</v>
      </c>
      <c r="AN65" s="44">
        <f>AL65*AJ65</f>
        <v>115000</v>
      </c>
      <c r="AO65" s="44">
        <f>AM65*AK65</f>
        <v>0</v>
      </c>
      <c r="AP65" s="44">
        <f t="shared" ref="AP65" si="43">AL65*AJ65+AM65*AK65</f>
        <v>115000</v>
      </c>
    </row>
    <row r="66" spans="1:42">
      <c r="A66" s="40"/>
      <c r="B66" s="40"/>
      <c r="C66" s="43"/>
      <c r="D66" s="10" t="s">
        <v>20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40"/>
      <c r="AK66" s="40"/>
      <c r="AL66" s="45"/>
      <c r="AM66" s="45"/>
      <c r="AN66" s="45"/>
      <c r="AO66" s="45"/>
      <c r="AP66" s="45"/>
    </row>
    <row r="67" spans="1:42">
      <c r="A67" s="40"/>
      <c r="B67" s="40"/>
      <c r="C67" s="43"/>
      <c r="D67" s="12" t="s">
        <v>21</v>
      </c>
      <c r="E67" s="9"/>
      <c r="F67" s="9"/>
      <c r="G67" s="9"/>
      <c r="H67" s="9"/>
      <c r="I67" s="9">
        <v>0.5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40"/>
      <c r="AK67" s="40"/>
      <c r="AL67" s="46"/>
      <c r="AM67" s="46"/>
      <c r="AN67" s="46"/>
      <c r="AO67" s="46"/>
      <c r="AP67" s="46"/>
    </row>
    <row r="68" spans="1:42">
      <c r="A68" s="39">
        <f t="shared" ref="A68" si="44">A65+1</f>
        <v>22</v>
      </c>
      <c r="B68" s="39" t="s">
        <v>42</v>
      </c>
      <c r="C68" s="42" t="s">
        <v>24</v>
      </c>
      <c r="D68" s="10" t="s">
        <v>18</v>
      </c>
      <c r="E68" s="9"/>
      <c r="F68" s="9"/>
      <c r="G68" s="9"/>
      <c r="H68" s="9"/>
      <c r="I68" s="11" t="s">
        <v>19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39">
        <f>COUNTIFS(E68:AI69,"✓")/2</f>
        <v>1</v>
      </c>
      <c r="AK68" s="39">
        <f>SUM(N70:AG70)</f>
        <v>0</v>
      </c>
      <c r="AL68" s="44">
        <v>230000</v>
      </c>
      <c r="AM68" s="44">
        <v>25000</v>
      </c>
      <c r="AN68" s="44">
        <f>AL68*AJ68</f>
        <v>230000</v>
      </c>
      <c r="AO68" s="44">
        <f>AM68*AK68</f>
        <v>0</v>
      </c>
      <c r="AP68" s="44">
        <f t="shared" ref="AP68" si="45">AL68*AJ68+AM68*AK68</f>
        <v>230000</v>
      </c>
    </row>
    <row r="69" spans="1:42">
      <c r="A69" s="40"/>
      <c r="B69" s="40"/>
      <c r="C69" s="43"/>
      <c r="D69" s="10" t="s">
        <v>20</v>
      </c>
      <c r="E69" s="9"/>
      <c r="F69" s="9"/>
      <c r="G69" s="9"/>
      <c r="H69" s="9"/>
      <c r="I69" s="11" t="s">
        <v>19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40"/>
      <c r="AK69" s="40"/>
      <c r="AL69" s="45"/>
      <c r="AM69" s="45"/>
      <c r="AN69" s="45"/>
      <c r="AO69" s="45"/>
      <c r="AP69" s="45"/>
    </row>
    <row r="70" spans="1:42">
      <c r="A70" s="40"/>
      <c r="B70" s="40"/>
      <c r="C70" s="43"/>
      <c r="D70" s="12" t="s">
        <v>21</v>
      </c>
      <c r="E70" s="9"/>
      <c r="F70" s="9"/>
      <c r="G70" s="9"/>
      <c r="H70" s="9"/>
      <c r="I70" s="9">
        <v>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40"/>
      <c r="AK70" s="40"/>
      <c r="AL70" s="46"/>
      <c r="AM70" s="46"/>
      <c r="AN70" s="46"/>
      <c r="AO70" s="46"/>
      <c r="AP70" s="46"/>
    </row>
    <row r="71" spans="1:42">
      <c r="A71" s="39">
        <f t="shared" ref="A71" si="46">A68+1</f>
        <v>23</v>
      </c>
      <c r="B71" s="39" t="s">
        <v>43</v>
      </c>
      <c r="C71" s="42" t="s">
        <v>24</v>
      </c>
      <c r="D71" s="10" t="s">
        <v>18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39">
        <f>COUNTIFS(E71:AI72,"✓")/2</f>
        <v>0</v>
      </c>
      <c r="AK71" s="39">
        <f t="shared" ref="AK71" si="47">SUM(O73:AG73)</f>
        <v>0</v>
      </c>
      <c r="AL71" s="44">
        <v>230000</v>
      </c>
      <c r="AM71" s="44">
        <v>25000</v>
      </c>
      <c r="AN71" s="44">
        <f>AL71*AJ71</f>
        <v>0</v>
      </c>
      <c r="AO71" s="44">
        <f>AM71*AK71</f>
        <v>0</v>
      </c>
      <c r="AP71" s="44">
        <f t="shared" ref="AP71" si="48">AL71*AJ71+AM71*AK71</f>
        <v>0</v>
      </c>
    </row>
    <row r="72" spans="1:42">
      <c r="A72" s="40"/>
      <c r="B72" s="40"/>
      <c r="C72" s="43"/>
      <c r="D72" s="10" t="s">
        <v>20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40"/>
      <c r="AK72" s="40"/>
      <c r="AL72" s="45"/>
      <c r="AM72" s="45"/>
      <c r="AN72" s="45"/>
      <c r="AO72" s="45"/>
      <c r="AP72" s="45"/>
    </row>
    <row r="73" spans="1:42">
      <c r="A73" s="40"/>
      <c r="B73" s="40"/>
      <c r="C73" s="43"/>
      <c r="D73" s="12" t="s">
        <v>21</v>
      </c>
      <c r="E73" s="9"/>
      <c r="F73" s="9"/>
      <c r="G73" s="9"/>
      <c r="H73" s="9"/>
      <c r="I73" s="9">
        <v>3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40"/>
      <c r="AK73" s="40"/>
      <c r="AL73" s="46"/>
      <c r="AM73" s="46"/>
      <c r="AN73" s="46"/>
      <c r="AO73" s="46"/>
      <c r="AP73" s="46"/>
    </row>
    <row r="74" spans="1:42">
      <c r="A74" s="39">
        <f t="shared" ref="A74" si="49">A71+1</f>
        <v>24</v>
      </c>
      <c r="B74" s="39" t="s">
        <v>44</v>
      </c>
      <c r="C74" s="42" t="s">
        <v>24</v>
      </c>
      <c r="D74" s="10" t="s">
        <v>18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39">
        <f>COUNTIFS(E74:AI75,"✓")/2</f>
        <v>0</v>
      </c>
      <c r="AK74" s="39">
        <f t="shared" ref="AK74" si="50">SUM(O76:AG76)</f>
        <v>0</v>
      </c>
      <c r="AL74" s="44">
        <v>230000</v>
      </c>
      <c r="AM74" s="44">
        <v>25000</v>
      </c>
      <c r="AN74" s="44">
        <f>AL74*AJ74</f>
        <v>0</v>
      </c>
      <c r="AO74" s="44">
        <f>AM74*AK74</f>
        <v>0</v>
      </c>
      <c r="AP74" s="44">
        <f t="shared" ref="AP74" si="51">AL74*AJ74+AM74*AK74</f>
        <v>0</v>
      </c>
    </row>
    <row r="75" spans="1:42">
      <c r="A75" s="40"/>
      <c r="B75" s="40"/>
      <c r="C75" s="43"/>
      <c r="D75" s="10" t="s">
        <v>20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40"/>
      <c r="AK75" s="40"/>
      <c r="AL75" s="45"/>
      <c r="AM75" s="45"/>
      <c r="AN75" s="45"/>
      <c r="AO75" s="45"/>
      <c r="AP75" s="45"/>
    </row>
    <row r="76" spans="1:42">
      <c r="A76" s="40"/>
      <c r="B76" s="40"/>
      <c r="C76" s="43"/>
      <c r="D76" s="12" t="s">
        <v>21</v>
      </c>
      <c r="E76" s="9"/>
      <c r="F76" s="9"/>
      <c r="G76" s="9"/>
      <c r="H76" s="9"/>
      <c r="I76" s="9">
        <v>3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40"/>
      <c r="AK76" s="40"/>
      <c r="AL76" s="46"/>
      <c r="AM76" s="46"/>
      <c r="AN76" s="46"/>
      <c r="AO76" s="46"/>
      <c r="AP76" s="46"/>
    </row>
    <row r="77" spans="1:42">
      <c r="A77" s="39">
        <f t="shared" ref="A77" si="52">A74+1</f>
        <v>25</v>
      </c>
      <c r="B77" s="39" t="s">
        <v>48</v>
      </c>
      <c r="C77" s="42" t="s">
        <v>24</v>
      </c>
      <c r="D77" s="10" t="s">
        <v>18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39">
        <f>COUNTIFS(E77:AI78,"✓")/2</f>
        <v>0.5</v>
      </c>
      <c r="AK77" s="39">
        <f t="shared" ref="AK77" si="53">SUM(O79:AG79)</f>
        <v>0</v>
      </c>
      <c r="AL77" s="44">
        <v>230000</v>
      </c>
      <c r="AM77" s="44">
        <v>25000</v>
      </c>
      <c r="AN77" s="44">
        <f>AL77*AJ77</f>
        <v>115000</v>
      </c>
      <c r="AO77" s="44">
        <f>AM77*AK77</f>
        <v>0</v>
      </c>
      <c r="AP77" s="44">
        <f t="shared" ref="AP77" si="54">AL77*AJ77+AM77*AK77</f>
        <v>115000</v>
      </c>
    </row>
    <row r="78" spans="1:42">
      <c r="A78" s="40"/>
      <c r="B78" s="40"/>
      <c r="C78" s="43"/>
      <c r="D78" s="10" t="s">
        <v>20</v>
      </c>
      <c r="E78" s="9"/>
      <c r="F78" s="9"/>
      <c r="G78" s="9"/>
      <c r="H78" s="9"/>
      <c r="I78" s="9"/>
      <c r="J78" s="11" t="s">
        <v>19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40"/>
      <c r="AK78" s="40"/>
      <c r="AL78" s="45"/>
      <c r="AM78" s="45"/>
      <c r="AN78" s="45"/>
      <c r="AO78" s="45"/>
      <c r="AP78" s="45"/>
    </row>
    <row r="79" spans="1:42">
      <c r="A79" s="40"/>
      <c r="B79" s="40"/>
      <c r="C79" s="43"/>
      <c r="D79" s="12" t="s">
        <v>21</v>
      </c>
      <c r="E79" s="9"/>
      <c r="F79" s="9"/>
      <c r="G79" s="9"/>
      <c r="H79" s="9"/>
      <c r="I79" s="9"/>
      <c r="J79" s="9">
        <v>0.5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40"/>
      <c r="AK79" s="40"/>
      <c r="AL79" s="46"/>
      <c r="AM79" s="46"/>
      <c r="AN79" s="46"/>
      <c r="AO79" s="46"/>
      <c r="AP79" s="46"/>
    </row>
    <row r="80" spans="1:42">
      <c r="A80" s="39">
        <f t="shared" ref="A80" si="55">A77+1</f>
        <v>26</v>
      </c>
      <c r="B80" s="39" t="s">
        <v>49</v>
      </c>
      <c r="C80" s="42" t="s">
        <v>24</v>
      </c>
      <c r="D80" s="10" t="s">
        <v>18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39">
        <f>COUNTIFS(E80:AI81,"✓")/2</f>
        <v>0</v>
      </c>
      <c r="AK80" s="39">
        <f t="shared" ref="AK80" si="56">SUM(O82:AG82)</f>
        <v>0</v>
      </c>
      <c r="AL80" s="44">
        <v>230000</v>
      </c>
      <c r="AM80" s="44">
        <v>25000</v>
      </c>
      <c r="AN80" s="44">
        <f>AL80*AJ80</f>
        <v>0</v>
      </c>
      <c r="AO80" s="44">
        <f>AM80*AK80</f>
        <v>0</v>
      </c>
      <c r="AP80" s="44">
        <f t="shared" ref="AP80" si="57">AL80*AJ80+AM80*AK80</f>
        <v>0</v>
      </c>
    </row>
    <row r="81" spans="1:42">
      <c r="A81" s="40"/>
      <c r="B81" s="40"/>
      <c r="C81" s="43"/>
      <c r="D81" s="10" t="s">
        <v>20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40"/>
      <c r="AK81" s="40"/>
      <c r="AL81" s="45"/>
      <c r="AM81" s="45"/>
      <c r="AN81" s="45"/>
      <c r="AO81" s="45"/>
      <c r="AP81" s="45"/>
    </row>
    <row r="82" spans="1:42">
      <c r="A82" s="40"/>
      <c r="B82" s="40"/>
      <c r="C82" s="43"/>
      <c r="D82" s="12" t="s">
        <v>21</v>
      </c>
      <c r="E82" s="9"/>
      <c r="F82" s="9"/>
      <c r="G82" s="9"/>
      <c r="H82" s="9"/>
      <c r="I82" s="9"/>
      <c r="J82" s="9">
        <v>2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40"/>
      <c r="AK82" s="40"/>
      <c r="AL82" s="46"/>
      <c r="AM82" s="46"/>
      <c r="AN82" s="46"/>
      <c r="AO82" s="46"/>
      <c r="AP82" s="46"/>
    </row>
    <row r="83" spans="1:42">
      <c r="A83" s="39">
        <f t="shared" ref="A83" si="58">A80+1</f>
        <v>27</v>
      </c>
      <c r="B83" s="39" t="s">
        <v>26</v>
      </c>
      <c r="C83" s="42" t="s">
        <v>24</v>
      </c>
      <c r="D83" s="10" t="s">
        <v>18</v>
      </c>
      <c r="E83" s="9"/>
      <c r="F83" s="9"/>
      <c r="G83" s="9"/>
      <c r="H83" s="9"/>
      <c r="I83" s="9"/>
      <c r="J83" s="9"/>
      <c r="K83" s="11" t="s">
        <v>19</v>
      </c>
      <c r="L83" s="11" t="s">
        <v>19</v>
      </c>
      <c r="M83" s="11" t="s">
        <v>19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39">
        <f>COUNTIFS(E83:AI84,"✓")/2</f>
        <v>3</v>
      </c>
      <c r="AK83" s="39">
        <f t="shared" ref="AK83" si="59">SUM(O85:AG85)</f>
        <v>0</v>
      </c>
      <c r="AL83" s="44">
        <v>230000</v>
      </c>
      <c r="AM83" s="44">
        <v>25000</v>
      </c>
      <c r="AN83" s="44">
        <f>AL83*AJ83</f>
        <v>690000</v>
      </c>
      <c r="AO83" s="44">
        <f>AM83*AK83</f>
        <v>0</v>
      </c>
      <c r="AP83" s="44">
        <f t="shared" ref="AP83" si="60">AL83*AJ83+AM83*AK83</f>
        <v>690000</v>
      </c>
    </row>
    <row r="84" spans="1:42">
      <c r="A84" s="40"/>
      <c r="B84" s="40"/>
      <c r="C84" s="43"/>
      <c r="D84" s="10" t="s">
        <v>20</v>
      </c>
      <c r="E84" s="9"/>
      <c r="F84" s="9"/>
      <c r="G84" s="9"/>
      <c r="H84" s="9"/>
      <c r="I84" s="9"/>
      <c r="J84" s="9"/>
      <c r="K84" s="11" t="s">
        <v>19</v>
      </c>
      <c r="L84" s="11" t="s">
        <v>19</v>
      </c>
      <c r="M84" s="11" t="s">
        <v>19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40"/>
      <c r="AK84" s="40"/>
      <c r="AL84" s="45"/>
      <c r="AM84" s="45"/>
      <c r="AN84" s="45"/>
      <c r="AO84" s="45"/>
      <c r="AP84" s="45"/>
    </row>
    <row r="85" spans="1:42">
      <c r="A85" s="40"/>
      <c r="B85" s="40"/>
      <c r="C85" s="43"/>
      <c r="D85" s="12" t="s">
        <v>21</v>
      </c>
      <c r="E85" s="9"/>
      <c r="F85" s="9"/>
      <c r="G85" s="9"/>
      <c r="H85" s="9"/>
      <c r="I85" s="9"/>
      <c r="J85" s="9">
        <v>2</v>
      </c>
      <c r="K85" s="12" t="s">
        <v>21</v>
      </c>
      <c r="L85" s="9">
        <v>1</v>
      </c>
      <c r="M85" s="9">
        <v>1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40"/>
      <c r="AK85" s="40"/>
      <c r="AL85" s="46"/>
      <c r="AM85" s="46"/>
      <c r="AN85" s="46"/>
      <c r="AO85" s="46"/>
      <c r="AP85" s="46"/>
    </row>
    <row r="86" spans="1:42">
      <c r="A86" s="39">
        <f t="shared" ref="A86" si="61">A83+1</f>
        <v>28</v>
      </c>
      <c r="B86" s="39" t="s">
        <v>50</v>
      </c>
      <c r="C86" s="42" t="s">
        <v>24</v>
      </c>
      <c r="D86" s="10" t="s">
        <v>18</v>
      </c>
      <c r="E86" s="9"/>
      <c r="F86" s="9"/>
      <c r="G86" s="9"/>
      <c r="H86" s="9"/>
      <c r="I86" s="9"/>
      <c r="J86" s="9"/>
      <c r="K86" s="11" t="s">
        <v>19</v>
      </c>
      <c r="L86" s="11" t="s">
        <v>19</v>
      </c>
      <c r="M86" s="11" t="s">
        <v>19</v>
      </c>
      <c r="N86" s="11" t="s">
        <v>19</v>
      </c>
      <c r="O86" s="11" t="s">
        <v>19</v>
      </c>
      <c r="P86" s="9"/>
      <c r="Q86" s="11" t="s">
        <v>19</v>
      </c>
      <c r="R86" s="11" t="s">
        <v>19</v>
      </c>
      <c r="S86" s="11" t="s">
        <v>19</v>
      </c>
      <c r="T86" s="11" t="s">
        <v>19</v>
      </c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39">
        <f t="shared" ref="AJ86" si="62">COUNTIFS(E86:AI87,"✓")/2</f>
        <v>9</v>
      </c>
      <c r="AK86" s="39">
        <f t="shared" ref="AK86" si="63">SUM(O88:AG88)</f>
        <v>0</v>
      </c>
      <c r="AL86" s="44">
        <v>230000</v>
      </c>
      <c r="AM86" s="44">
        <v>25000</v>
      </c>
      <c r="AN86" s="44">
        <f t="shared" ref="AN86" si="64">AL86*AJ86</f>
        <v>2070000</v>
      </c>
      <c r="AO86" s="44">
        <f t="shared" ref="AO86" si="65">AM86*AK86</f>
        <v>0</v>
      </c>
      <c r="AP86" s="44">
        <f t="shared" ref="AP86" si="66">AL86*AJ86+AM86*AK86</f>
        <v>2070000</v>
      </c>
    </row>
    <row r="87" spans="1:42">
      <c r="A87" s="40"/>
      <c r="B87" s="40"/>
      <c r="C87" s="43"/>
      <c r="D87" s="10" t="s">
        <v>20</v>
      </c>
      <c r="E87" s="9"/>
      <c r="F87" s="9"/>
      <c r="G87" s="9"/>
      <c r="H87" s="9"/>
      <c r="I87" s="9"/>
      <c r="J87" s="9"/>
      <c r="K87" s="11" t="s">
        <v>19</v>
      </c>
      <c r="L87" s="11" t="s">
        <v>19</v>
      </c>
      <c r="M87" s="11" t="s">
        <v>19</v>
      </c>
      <c r="N87" s="11" t="s">
        <v>19</v>
      </c>
      <c r="O87" s="11" t="s">
        <v>19</v>
      </c>
      <c r="P87" s="9"/>
      <c r="Q87" s="11" t="s">
        <v>19</v>
      </c>
      <c r="R87" s="11" t="s">
        <v>19</v>
      </c>
      <c r="S87" s="11" t="s">
        <v>19</v>
      </c>
      <c r="T87" s="11" t="s">
        <v>19</v>
      </c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40"/>
      <c r="AK87" s="40"/>
      <c r="AL87" s="45"/>
      <c r="AM87" s="45"/>
      <c r="AN87" s="45"/>
      <c r="AO87" s="45"/>
      <c r="AP87" s="45"/>
    </row>
    <row r="88" spans="1:42">
      <c r="A88" s="40"/>
      <c r="B88" s="40"/>
      <c r="C88" s="43"/>
      <c r="D88" s="12" t="s">
        <v>21</v>
      </c>
      <c r="E88" s="9"/>
      <c r="F88" s="9"/>
      <c r="G88" s="9"/>
      <c r="H88" s="9"/>
      <c r="I88" s="9"/>
      <c r="J88" s="9"/>
      <c r="K88" s="9"/>
      <c r="L88" s="9">
        <v>1</v>
      </c>
      <c r="M88" s="9">
        <v>1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40"/>
      <c r="AK88" s="40"/>
      <c r="AL88" s="46"/>
      <c r="AM88" s="46"/>
      <c r="AN88" s="46"/>
      <c r="AO88" s="46"/>
      <c r="AP88" s="46"/>
    </row>
    <row r="89" spans="1:42">
      <c r="A89" s="39">
        <f t="shared" ref="A89" si="67">A86+1</f>
        <v>29</v>
      </c>
      <c r="B89" s="38" t="s">
        <v>51</v>
      </c>
      <c r="C89" s="42" t="s">
        <v>24</v>
      </c>
      <c r="D89" s="10" t="s">
        <v>18</v>
      </c>
      <c r="E89" s="9"/>
      <c r="F89" s="9"/>
      <c r="G89" s="9"/>
      <c r="H89" s="9"/>
      <c r="I89" s="9"/>
      <c r="J89" s="9"/>
      <c r="K89" s="9"/>
      <c r="L89" s="11" t="s">
        <v>19</v>
      </c>
      <c r="M89" s="11" t="s">
        <v>19</v>
      </c>
      <c r="N89" s="11" t="s">
        <v>19</v>
      </c>
      <c r="O89" s="9"/>
      <c r="P89" s="11" t="s">
        <v>19</v>
      </c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39">
        <f t="shared" ref="AJ89" si="68">COUNTIFS(E89:AI90,"✓")/2</f>
        <v>4</v>
      </c>
      <c r="AK89" s="39">
        <f t="shared" ref="AK89" si="69">SUM(O91:AG91)</f>
        <v>0</v>
      </c>
      <c r="AL89" s="44">
        <v>230000</v>
      </c>
      <c r="AM89" s="44">
        <v>25000</v>
      </c>
      <c r="AN89" s="44">
        <f t="shared" ref="AN89" si="70">AL89*AJ89</f>
        <v>920000</v>
      </c>
      <c r="AO89" s="44">
        <f t="shared" ref="AO89" si="71">AM89*AK89</f>
        <v>0</v>
      </c>
      <c r="AP89" s="44">
        <f t="shared" ref="AP89" si="72">AL89*AJ89+AM89*AK89</f>
        <v>920000</v>
      </c>
    </row>
    <row r="90" spans="1:42">
      <c r="A90" s="40"/>
      <c r="B90" s="38"/>
      <c r="C90" s="43"/>
      <c r="D90" s="10" t="s">
        <v>20</v>
      </c>
      <c r="E90" s="9"/>
      <c r="F90" s="9"/>
      <c r="G90" s="9"/>
      <c r="H90" s="9"/>
      <c r="I90" s="9"/>
      <c r="J90" s="9"/>
      <c r="K90" s="9"/>
      <c r="L90" s="11" t="s">
        <v>19</v>
      </c>
      <c r="M90" s="11" t="s">
        <v>19</v>
      </c>
      <c r="N90" s="11" t="s">
        <v>19</v>
      </c>
      <c r="O90" s="9"/>
      <c r="P90" s="11" t="s">
        <v>19</v>
      </c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40"/>
      <c r="AK90" s="40"/>
      <c r="AL90" s="45"/>
      <c r="AM90" s="45"/>
      <c r="AN90" s="45"/>
      <c r="AO90" s="45"/>
      <c r="AP90" s="45"/>
    </row>
    <row r="91" spans="1:42">
      <c r="A91" s="40"/>
      <c r="B91" s="38"/>
      <c r="C91" s="43"/>
      <c r="D91" s="12" t="s">
        <v>21</v>
      </c>
      <c r="E91" s="9"/>
      <c r="F91" s="9"/>
      <c r="G91" s="9"/>
      <c r="H91" s="9"/>
      <c r="I91" s="9"/>
      <c r="J91" s="9"/>
      <c r="K91" s="9"/>
      <c r="L91" s="9">
        <v>1</v>
      </c>
      <c r="M91" s="9">
        <v>1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40"/>
      <c r="AK91" s="40"/>
      <c r="AL91" s="46"/>
      <c r="AM91" s="46"/>
      <c r="AN91" s="46"/>
      <c r="AO91" s="46"/>
      <c r="AP91" s="46"/>
    </row>
    <row r="92" spans="1:42">
      <c r="A92" s="39">
        <f t="shared" ref="A92" si="73">A89+1</f>
        <v>30</v>
      </c>
      <c r="B92" s="38" t="s">
        <v>52</v>
      </c>
      <c r="C92" s="42" t="s">
        <v>24</v>
      </c>
      <c r="D92" s="10" t="s">
        <v>18</v>
      </c>
      <c r="E92" s="9"/>
      <c r="F92" s="9"/>
      <c r="G92" s="9"/>
      <c r="H92" s="9"/>
      <c r="I92" s="9"/>
      <c r="J92" s="9"/>
      <c r="K92" s="9"/>
      <c r="L92" s="11" t="s">
        <v>19</v>
      </c>
      <c r="M92" s="11" t="s">
        <v>19</v>
      </c>
      <c r="N92" s="11" t="s">
        <v>19</v>
      </c>
      <c r="O92" s="11" t="s">
        <v>19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39">
        <f t="shared" ref="AJ92" si="74">COUNTIFS(E92:AI93,"✓")/2</f>
        <v>4</v>
      </c>
      <c r="AK92" s="39">
        <f t="shared" ref="AK92" si="75">SUM(O94:AG94)</f>
        <v>0</v>
      </c>
      <c r="AL92" s="44">
        <v>230000</v>
      </c>
      <c r="AM92" s="44">
        <v>25000</v>
      </c>
      <c r="AN92" s="44">
        <f t="shared" ref="AN92" si="76">AL92*AJ92</f>
        <v>920000</v>
      </c>
      <c r="AO92" s="44">
        <f t="shared" ref="AO92" si="77">AM92*AK92</f>
        <v>0</v>
      </c>
      <c r="AP92" s="44">
        <f t="shared" ref="AP92" si="78">AL92*AJ92+AM92*AK92</f>
        <v>920000</v>
      </c>
    </row>
    <row r="93" spans="1:42">
      <c r="A93" s="40"/>
      <c r="B93" s="38"/>
      <c r="C93" s="43"/>
      <c r="D93" s="10" t="s">
        <v>20</v>
      </c>
      <c r="E93" s="9"/>
      <c r="F93" s="9"/>
      <c r="G93" s="9"/>
      <c r="H93" s="9"/>
      <c r="I93" s="9"/>
      <c r="J93" s="9"/>
      <c r="K93" s="9"/>
      <c r="L93" s="11" t="s">
        <v>19</v>
      </c>
      <c r="M93" s="11" t="s">
        <v>19</v>
      </c>
      <c r="N93" s="11" t="s">
        <v>19</v>
      </c>
      <c r="O93" s="11" t="s">
        <v>19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40"/>
      <c r="AK93" s="40"/>
      <c r="AL93" s="45"/>
      <c r="AM93" s="45"/>
      <c r="AN93" s="45"/>
      <c r="AO93" s="45"/>
      <c r="AP93" s="45"/>
    </row>
    <row r="94" spans="1:42">
      <c r="A94" s="40"/>
      <c r="B94" s="38"/>
      <c r="C94" s="43"/>
      <c r="D94" s="12" t="s">
        <v>21</v>
      </c>
      <c r="E94" s="9"/>
      <c r="F94" s="9"/>
      <c r="G94" s="9"/>
      <c r="H94" s="9"/>
      <c r="I94" s="9"/>
      <c r="J94" s="9"/>
      <c r="K94" s="9"/>
      <c r="L94" s="9">
        <v>1</v>
      </c>
      <c r="M94" s="9">
        <v>1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40"/>
      <c r="AK94" s="40"/>
      <c r="AL94" s="46"/>
      <c r="AM94" s="46"/>
      <c r="AN94" s="46"/>
      <c r="AO94" s="46"/>
      <c r="AP94" s="46"/>
    </row>
    <row r="95" spans="1:42">
      <c r="A95" s="39">
        <f t="shared" ref="A95" si="79">A92+1</f>
        <v>31</v>
      </c>
      <c r="B95" s="39" t="s">
        <v>53</v>
      </c>
      <c r="C95" s="42" t="s">
        <v>24</v>
      </c>
      <c r="D95" s="10" t="s">
        <v>18</v>
      </c>
      <c r="E95" s="9"/>
      <c r="F95" s="9"/>
      <c r="G95" s="9"/>
      <c r="H95" s="9"/>
      <c r="I95" s="9"/>
      <c r="J95" s="9"/>
      <c r="K95" s="9"/>
      <c r="L95" s="11" t="s">
        <v>19</v>
      </c>
      <c r="M95" s="11" t="s">
        <v>19</v>
      </c>
      <c r="N95" s="11" t="s">
        <v>19</v>
      </c>
      <c r="O95" s="11" t="s">
        <v>19</v>
      </c>
      <c r="P95" s="11" t="s">
        <v>19</v>
      </c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39">
        <f t="shared" ref="AJ95" si="80">COUNTIFS(E95:AI96,"✓")/2</f>
        <v>5</v>
      </c>
      <c r="AK95" s="39">
        <f t="shared" ref="AK95" si="81">SUM(O97:AG97)</f>
        <v>0</v>
      </c>
      <c r="AL95" s="44">
        <v>230000</v>
      </c>
      <c r="AM95" s="44">
        <v>25000</v>
      </c>
      <c r="AN95" s="44">
        <f t="shared" ref="AN95" si="82">AL95*AJ95</f>
        <v>1150000</v>
      </c>
      <c r="AO95" s="44">
        <f t="shared" ref="AO95" si="83">AM95*AK95</f>
        <v>0</v>
      </c>
      <c r="AP95" s="44">
        <f t="shared" ref="AP95" si="84">AL95*AJ95+AM95*AK95</f>
        <v>1150000</v>
      </c>
    </row>
    <row r="96" spans="1:42">
      <c r="A96" s="40"/>
      <c r="B96" s="40"/>
      <c r="C96" s="43"/>
      <c r="D96" s="10" t="s">
        <v>20</v>
      </c>
      <c r="E96" s="9"/>
      <c r="F96" s="9"/>
      <c r="G96" s="9"/>
      <c r="H96" s="9"/>
      <c r="I96" s="9"/>
      <c r="J96" s="9"/>
      <c r="K96" s="9"/>
      <c r="L96" s="21" t="s">
        <v>19</v>
      </c>
      <c r="M96" s="21" t="s">
        <v>19</v>
      </c>
      <c r="N96" s="11" t="s">
        <v>19</v>
      </c>
      <c r="O96" s="11" t="s">
        <v>19</v>
      </c>
      <c r="P96" s="11" t="s">
        <v>19</v>
      </c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40"/>
      <c r="AK96" s="40"/>
      <c r="AL96" s="45"/>
      <c r="AM96" s="45"/>
      <c r="AN96" s="45"/>
      <c r="AO96" s="45"/>
      <c r="AP96" s="45"/>
    </row>
    <row r="97" spans="1:42">
      <c r="A97" s="40"/>
      <c r="B97" s="40"/>
      <c r="C97" s="43"/>
      <c r="D97" s="12" t="s">
        <v>21</v>
      </c>
      <c r="E97" s="9"/>
      <c r="F97" s="9"/>
      <c r="G97" s="9"/>
      <c r="H97" s="9"/>
      <c r="I97" s="9"/>
      <c r="J97" s="9"/>
      <c r="K97" s="9"/>
      <c r="L97" s="9">
        <v>1</v>
      </c>
      <c r="M97" s="9">
        <v>1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40"/>
      <c r="AK97" s="40"/>
      <c r="AL97" s="46"/>
      <c r="AM97" s="46"/>
      <c r="AN97" s="46"/>
      <c r="AO97" s="46"/>
      <c r="AP97" s="46"/>
    </row>
    <row r="98" spans="1:42">
      <c r="A98" s="39">
        <f t="shared" ref="A98" si="85">A95+1</f>
        <v>32</v>
      </c>
      <c r="B98" s="38" t="s">
        <v>54</v>
      </c>
      <c r="C98" s="42" t="s">
        <v>24</v>
      </c>
      <c r="D98" s="10" t="s">
        <v>18</v>
      </c>
      <c r="E98" s="9"/>
      <c r="F98" s="9"/>
      <c r="G98" s="9"/>
      <c r="H98" s="9"/>
      <c r="I98" s="9"/>
      <c r="J98" s="9"/>
      <c r="K98" s="9"/>
      <c r="L98" s="11" t="s">
        <v>19</v>
      </c>
      <c r="M98" s="11" t="s">
        <v>19</v>
      </c>
      <c r="N98" s="11" t="s">
        <v>19</v>
      </c>
      <c r="O98" s="9"/>
      <c r="P98" s="11" t="s">
        <v>19</v>
      </c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39">
        <f t="shared" ref="AJ98" si="86">COUNTIFS(E98:AI99,"✓")/2</f>
        <v>4</v>
      </c>
      <c r="AK98" s="39">
        <f t="shared" ref="AK98" si="87">SUM(O100:AG100)</f>
        <v>0</v>
      </c>
      <c r="AL98" s="44">
        <v>230000</v>
      </c>
      <c r="AM98" s="44">
        <v>25000</v>
      </c>
      <c r="AN98" s="44">
        <f t="shared" ref="AN98" si="88">AL98*AJ98</f>
        <v>920000</v>
      </c>
      <c r="AO98" s="44">
        <f t="shared" ref="AO98" si="89">AM98*AK98</f>
        <v>0</v>
      </c>
      <c r="AP98" s="44">
        <f t="shared" ref="AP98" si="90">AL98*AJ98+AM98*AK98</f>
        <v>920000</v>
      </c>
    </row>
    <row r="99" spans="1:42">
      <c r="A99" s="40"/>
      <c r="B99" s="38"/>
      <c r="C99" s="43"/>
      <c r="D99" s="10" t="s">
        <v>20</v>
      </c>
      <c r="E99" s="9"/>
      <c r="F99" s="9"/>
      <c r="G99" s="9"/>
      <c r="H99" s="9"/>
      <c r="I99" s="9"/>
      <c r="J99" s="9"/>
      <c r="K99" s="9"/>
      <c r="L99" s="11" t="s">
        <v>19</v>
      </c>
      <c r="M99" s="11" t="s">
        <v>19</v>
      </c>
      <c r="N99" s="11" t="s">
        <v>19</v>
      </c>
      <c r="O99" s="9"/>
      <c r="P99" s="11" t="s">
        <v>19</v>
      </c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40"/>
      <c r="AK99" s="40"/>
      <c r="AL99" s="45"/>
      <c r="AM99" s="45"/>
      <c r="AN99" s="45"/>
      <c r="AO99" s="45"/>
      <c r="AP99" s="45"/>
    </row>
    <row r="100" spans="1:42">
      <c r="A100" s="40"/>
      <c r="B100" s="38"/>
      <c r="C100" s="43"/>
      <c r="D100" s="12" t="s">
        <v>21</v>
      </c>
      <c r="E100" s="9"/>
      <c r="F100" s="9"/>
      <c r="G100" s="9"/>
      <c r="H100" s="9"/>
      <c r="I100" s="9"/>
      <c r="J100" s="9"/>
      <c r="K100" s="9"/>
      <c r="L100" s="9">
        <v>1</v>
      </c>
      <c r="M100" s="9">
        <v>1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40"/>
      <c r="AK100" s="40"/>
      <c r="AL100" s="46"/>
      <c r="AM100" s="46"/>
      <c r="AN100" s="46"/>
      <c r="AO100" s="46"/>
      <c r="AP100" s="46"/>
    </row>
    <row r="101" spans="1:42">
      <c r="A101" s="39">
        <f t="shared" ref="A101" si="91">A98+1</f>
        <v>33</v>
      </c>
      <c r="B101" s="38" t="s">
        <v>55</v>
      </c>
      <c r="C101" s="42" t="s">
        <v>24</v>
      </c>
      <c r="D101" s="10" t="s">
        <v>18</v>
      </c>
      <c r="E101" s="9"/>
      <c r="F101" s="9"/>
      <c r="G101" s="9"/>
      <c r="H101" s="9"/>
      <c r="I101" s="9"/>
      <c r="J101" s="9"/>
      <c r="K101" s="9"/>
      <c r="L101" s="11" t="s">
        <v>19</v>
      </c>
      <c r="M101" s="11" t="s">
        <v>19</v>
      </c>
      <c r="N101" s="9"/>
      <c r="O101" s="11" t="s">
        <v>19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9">
        <f t="shared" ref="AJ101" si="92">COUNTIFS(E101:AI102,"✓")/2</f>
        <v>3</v>
      </c>
      <c r="AK101" s="39">
        <f t="shared" ref="AK101" si="93">SUM(O103:AG103)</f>
        <v>0</v>
      </c>
      <c r="AL101" s="44">
        <v>230000</v>
      </c>
      <c r="AM101" s="44">
        <v>25000</v>
      </c>
      <c r="AN101" s="44">
        <f t="shared" ref="AN101" si="94">AL101*AJ101</f>
        <v>690000</v>
      </c>
      <c r="AO101" s="44">
        <f t="shared" ref="AO101" si="95">AM101*AK101</f>
        <v>0</v>
      </c>
      <c r="AP101" s="44">
        <f t="shared" ref="AP101" si="96">AL101*AJ101+AM101*AK101</f>
        <v>690000</v>
      </c>
    </row>
    <row r="102" spans="1:42">
      <c r="A102" s="40"/>
      <c r="B102" s="38"/>
      <c r="C102" s="43"/>
      <c r="D102" s="10" t="s">
        <v>20</v>
      </c>
      <c r="E102" s="9"/>
      <c r="F102" s="9"/>
      <c r="G102" s="9"/>
      <c r="H102" s="9"/>
      <c r="I102" s="9"/>
      <c r="J102" s="9"/>
      <c r="K102" s="9"/>
      <c r="L102" s="11" t="s">
        <v>19</v>
      </c>
      <c r="M102" s="11" t="s">
        <v>19</v>
      </c>
      <c r="N102" s="9"/>
      <c r="O102" s="11" t="s">
        <v>19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40"/>
      <c r="AK102" s="40"/>
      <c r="AL102" s="45"/>
      <c r="AM102" s="45"/>
      <c r="AN102" s="45"/>
      <c r="AO102" s="45"/>
      <c r="AP102" s="45"/>
    </row>
    <row r="103" spans="1:42">
      <c r="A103" s="40"/>
      <c r="B103" s="38"/>
      <c r="C103" s="43"/>
      <c r="D103" s="12" t="s">
        <v>21</v>
      </c>
      <c r="E103" s="9"/>
      <c r="F103" s="9"/>
      <c r="G103" s="9"/>
      <c r="H103" s="9"/>
      <c r="I103" s="9"/>
      <c r="J103" s="9"/>
      <c r="K103" s="9"/>
      <c r="L103" s="9">
        <v>1</v>
      </c>
      <c r="M103" s="9">
        <v>1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40"/>
      <c r="AK103" s="40"/>
      <c r="AL103" s="46"/>
      <c r="AM103" s="46"/>
      <c r="AN103" s="46"/>
      <c r="AO103" s="46"/>
      <c r="AP103" s="46"/>
    </row>
    <row r="104" spans="1:42">
      <c r="A104" s="39">
        <f t="shared" ref="A104" si="97">A101+1</f>
        <v>34</v>
      </c>
      <c r="B104" s="38" t="s">
        <v>56</v>
      </c>
      <c r="C104" s="42" t="s">
        <v>24</v>
      </c>
      <c r="D104" s="10" t="s">
        <v>18</v>
      </c>
      <c r="E104" s="9"/>
      <c r="F104" s="9"/>
      <c r="G104" s="9"/>
      <c r="H104" s="9"/>
      <c r="I104" s="9"/>
      <c r="J104" s="9"/>
      <c r="K104" s="9"/>
      <c r="L104" s="11" t="s">
        <v>19</v>
      </c>
      <c r="M104" s="11" t="s">
        <v>19</v>
      </c>
      <c r="N104" s="11" t="s">
        <v>19</v>
      </c>
      <c r="O104" s="11" t="s">
        <v>19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39">
        <f t="shared" ref="AJ104" si="98">COUNTIFS(E104:AI105,"✓")/2</f>
        <v>4</v>
      </c>
      <c r="AK104" s="39">
        <f t="shared" ref="AK104" si="99">SUM(O106:AG106)</f>
        <v>0</v>
      </c>
      <c r="AL104" s="44">
        <v>230000</v>
      </c>
      <c r="AM104" s="44">
        <v>25000</v>
      </c>
      <c r="AN104" s="44">
        <f t="shared" ref="AN104" si="100">AL104*AJ104</f>
        <v>920000</v>
      </c>
      <c r="AO104" s="44">
        <f t="shared" ref="AO104" si="101">AM104*AK104</f>
        <v>0</v>
      </c>
      <c r="AP104" s="44">
        <f t="shared" ref="AP104" si="102">AL104*AJ104+AM104*AK104</f>
        <v>920000</v>
      </c>
    </row>
    <row r="105" spans="1:42">
      <c r="A105" s="40"/>
      <c r="B105" s="38"/>
      <c r="C105" s="43"/>
      <c r="D105" s="10" t="s">
        <v>20</v>
      </c>
      <c r="E105" s="9"/>
      <c r="F105" s="9"/>
      <c r="G105" s="9"/>
      <c r="H105" s="9"/>
      <c r="I105" s="9"/>
      <c r="J105" s="9"/>
      <c r="K105" s="9"/>
      <c r="L105" s="11" t="s">
        <v>19</v>
      </c>
      <c r="M105" s="11" t="s">
        <v>19</v>
      </c>
      <c r="N105" s="11" t="s">
        <v>19</v>
      </c>
      <c r="O105" s="11" t="s">
        <v>19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40"/>
      <c r="AK105" s="40"/>
      <c r="AL105" s="45"/>
      <c r="AM105" s="45"/>
      <c r="AN105" s="45"/>
      <c r="AO105" s="45"/>
      <c r="AP105" s="45"/>
    </row>
    <row r="106" spans="1:42">
      <c r="A106" s="40"/>
      <c r="B106" s="38"/>
      <c r="C106" s="43"/>
      <c r="D106" s="12" t="s">
        <v>21</v>
      </c>
      <c r="E106" s="9"/>
      <c r="F106" s="9"/>
      <c r="G106" s="9"/>
      <c r="H106" s="9"/>
      <c r="I106" s="9"/>
      <c r="J106" s="9"/>
      <c r="K106" s="9"/>
      <c r="L106" s="9">
        <v>1</v>
      </c>
      <c r="M106" s="9">
        <v>1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40"/>
      <c r="AK106" s="40"/>
      <c r="AL106" s="46"/>
      <c r="AM106" s="46"/>
      <c r="AN106" s="46"/>
      <c r="AO106" s="46"/>
      <c r="AP106" s="46"/>
    </row>
    <row r="107" spans="1:42">
      <c r="A107" s="39">
        <f t="shared" ref="A107" si="103">A104+1</f>
        <v>35</v>
      </c>
      <c r="B107" s="38" t="s">
        <v>57</v>
      </c>
      <c r="C107" s="42" t="s">
        <v>24</v>
      </c>
      <c r="D107" s="10" t="s">
        <v>18</v>
      </c>
      <c r="E107" s="9"/>
      <c r="F107" s="9"/>
      <c r="G107" s="9"/>
      <c r="H107" s="9"/>
      <c r="I107" s="9"/>
      <c r="J107" s="9"/>
      <c r="K107" s="9"/>
      <c r="L107" s="11" t="s">
        <v>19</v>
      </c>
      <c r="M107" s="11" t="s">
        <v>19</v>
      </c>
      <c r="N107" s="9"/>
      <c r="O107" s="11" t="s">
        <v>19</v>
      </c>
      <c r="P107" s="11" t="s">
        <v>19</v>
      </c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39">
        <f t="shared" ref="AJ107" si="104">COUNTIFS(E107:AI108,"✓")/2</f>
        <v>4</v>
      </c>
      <c r="AK107" s="39">
        <f t="shared" ref="AK107" si="105">SUM(O109:AG109)</f>
        <v>0</v>
      </c>
      <c r="AL107" s="44">
        <v>230000</v>
      </c>
      <c r="AM107" s="44">
        <v>25000</v>
      </c>
      <c r="AN107" s="44">
        <f t="shared" ref="AN107" si="106">AL107*AJ107</f>
        <v>920000</v>
      </c>
      <c r="AO107" s="44">
        <f t="shared" ref="AO107" si="107">AM107*AK107</f>
        <v>0</v>
      </c>
      <c r="AP107" s="44">
        <f t="shared" ref="AP107" si="108">AL107*AJ107+AM107*AK107</f>
        <v>920000</v>
      </c>
    </row>
    <row r="108" spans="1:42">
      <c r="A108" s="40"/>
      <c r="B108" s="38"/>
      <c r="C108" s="43"/>
      <c r="D108" s="10" t="s">
        <v>20</v>
      </c>
      <c r="E108" s="9"/>
      <c r="F108" s="9"/>
      <c r="G108" s="9"/>
      <c r="H108" s="9"/>
      <c r="I108" s="9"/>
      <c r="J108" s="9"/>
      <c r="K108" s="9"/>
      <c r="L108" s="11" t="s">
        <v>19</v>
      </c>
      <c r="M108" s="11" t="s">
        <v>19</v>
      </c>
      <c r="N108" s="9"/>
      <c r="O108" s="11" t="s">
        <v>19</v>
      </c>
      <c r="P108" s="11" t="s">
        <v>19</v>
      </c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40"/>
      <c r="AK108" s="40"/>
      <c r="AL108" s="45"/>
      <c r="AM108" s="45"/>
      <c r="AN108" s="45"/>
      <c r="AO108" s="45"/>
      <c r="AP108" s="45"/>
    </row>
    <row r="109" spans="1:42">
      <c r="A109" s="40"/>
      <c r="B109" s="38"/>
      <c r="C109" s="43"/>
      <c r="D109" s="12" t="s">
        <v>21</v>
      </c>
      <c r="E109" s="9"/>
      <c r="F109" s="9"/>
      <c r="G109" s="9"/>
      <c r="H109" s="9"/>
      <c r="I109" s="9"/>
      <c r="J109" s="9"/>
      <c r="K109" s="9"/>
      <c r="L109" s="9">
        <v>1</v>
      </c>
      <c r="M109" s="9">
        <v>1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40"/>
      <c r="AK109" s="40"/>
      <c r="AL109" s="46"/>
      <c r="AM109" s="46"/>
      <c r="AN109" s="46"/>
      <c r="AO109" s="46"/>
      <c r="AP109" s="46"/>
    </row>
    <row r="110" spans="1:42">
      <c r="A110" s="39">
        <f t="shared" ref="A110" si="109">A107+1</f>
        <v>36</v>
      </c>
      <c r="B110" s="38" t="s">
        <v>58</v>
      </c>
      <c r="C110" s="42" t="s">
        <v>24</v>
      </c>
      <c r="D110" s="10" t="s">
        <v>18</v>
      </c>
      <c r="E110" s="9"/>
      <c r="F110" s="9"/>
      <c r="G110" s="9"/>
      <c r="H110" s="9"/>
      <c r="I110" s="9"/>
      <c r="J110" s="9"/>
      <c r="K110" s="9"/>
      <c r="L110" s="11" t="s">
        <v>19</v>
      </c>
      <c r="M110" s="11" t="s">
        <v>19</v>
      </c>
      <c r="N110" s="11" t="s">
        <v>19</v>
      </c>
      <c r="O110" s="11" t="s">
        <v>19</v>
      </c>
      <c r="P110" s="11" t="s">
        <v>19</v>
      </c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39">
        <f t="shared" ref="AJ110" si="110">COUNTIFS(E110:AI111,"✓")/2</f>
        <v>5</v>
      </c>
      <c r="AK110" s="39">
        <f t="shared" ref="AK110" si="111">SUM(O112:AG112)</f>
        <v>0</v>
      </c>
      <c r="AL110" s="44">
        <v>230000</v>
      </c>
      <c r="AM110" s="44">
        <v>25000</v>
      </c>
      <c r="AN110" s="44">
        <f t="shared" ref="AN110" si="112">AL110*AJ110</f>
        <v>1150000</v>
      </c>
      <c r="AO110" s="44">
        <f t="shared" ref="AO110" si="113">AM110*AK110</f>
        <v>0</v>
      </c>
      <c r="AP110" s="44">
        <f t="shared" ref="AP110" si="114">AL110*AJ110+AM110*AK110</f>
        <v>1150000</v>
      </c>
    </row>
    <row r="111" spans="1:42">
      <c r="A111" s="40"/>
      <c r="B111" s="38"/>
      <c r="C111" s="43"/>
      <c r="D111" s="10" t="s">
        <v>20</v>
      </c>
      <c r="E111" s="9"/>
      <c r="F111" s="9"/>
      <c r="G111" s="9"/>
      <c r="H111" s="9"/>
      <c r="I111" s="9"/>
      <c r="J111" s="9"/>
      <c r="K111" s="9"/>
      <c r="L111" s="11" t="s">
        <v>19</v>
      </c>
      <c r="M111" s="11" t="s">
        <v>19</v>
      </c>
      <c r="N111" s="11" t="s">
        <v>19</v>
      </c>
      <c r="O111" s="11" t="s">
        <v>19</v>
      </c>
      <c r="P111" s="11" t="s">
        <v>19</v>
      </c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40"/>
      <c r="AK111" s="40"/>
      <c r="AL111" s="45"/>
      <c r="AM111" s="45"/>
      <c r="AN111" s="45"/>
      <c r="AO111" s="45"/>
      <c r="AP111" s="45"/>
    </row>
    <row r="112" spans="1:42">
      <c r="A112" s="40"/>
      <c r="B112" s="38"/>
      <c r="C112" s="43"/>
      <c r="D112" s="12" t="s">
        <v>21</v>
      </c>
      <c r="E112" s="9"/>
      <c r="F112" s="9"/>
      <c r="G112" s="9"/>
      <c r="H112" s="9"/>
      <c r="I112" s="9"/>
      <c r="J112" s="9"/>
      <c r="K112" s="9"/>
      <c r="L112" s="9">
        <v>1</v>
      </c>
      <c r="M112" s="9">
        <v>1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40"/>
      <c r="AK112" s="40"/>
      <c r="AL112" s="46"/>
      <c r="AM112" s="46"/>
      <c r="AN112" s="46"/>
      <c r="AO112" s="46"/>
      <c r="AP112" s="46"/>
    </row>
    <row r="113" spans="1:42">
      <c r="A113" s="39">
        <f t="shared" ref="A113" si="115">A110+1</f>
        <v>37</v>
      </c>
      <c r="B113" s="38" t="s">
        <v>59</v>
      </c>
      <c r="C113" s="42" t="s">
        <v>24</v>
      </c>
      <c r="D113" s="10" t="s">
        <v>18</v>
      </c>
      <c r="E113" s="9"/>
      <c r="F113" s="9"/>
      <c r="G113" s="9"/>
      <c r="H113" s="9"/>
      <c r="I113" s="9"/>
      <c r="J113" s="9"/>
      <c r="K113" s="11" t="s">
        <v>19</v>
      </c>
      <c r="L113" s="9"/>
      <c r="M113" s="11" t="s">
        <v>19</v>
      </c>
      <c r="N113" s="9"/>
      <c r="O113" s="11" t="s">
        <v>19</v>
      </c>
      <c r="P113" s="11" t="s">
        <v>19</v>
      </c>
      <c r="Q113" s="11" t="s">
        <v>19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39">
        <f t="shared" ref="AJ113" si="116">COUNTIFS(E113:AI114,"✓")/2</f>
        <v>4.5</v>
      </c>
      <c r="AK113" s="39">
        <f t="shared" ref="AK113" si="117">SUM(O115:AG115)</f>
        <v>0</v>
      </c>
      <c r="AL113" s="44">
        <v>230000</v>
      </c>
      <c r="AM113" s="44">
        <v>25000</v>
      </c>
      <c r="AN113" s="44">
        <f t="shared" ref="AN113" si="118">AL113*AJ113</f>
        <v>1035000</v>
      </c>
      <c r="AO113" s="44">
        <f t="shared" ref="AO113" si="119">AM113*AK113</f>
        <v>0</v>
      </c>
      <c r="AP113" s="44">
        <f t="shared" ref="AP113" si="120">AL113*AJ113+AM113*AK113</f>
        <v>1035000</v>
      </c>
    </row>
    <row r="114" spans="1:42">
      <c r="A114" s="40"/>
      <c r="B114" s="38"/>
      <c r="C114" s="43"/>
      <c r="D114" s="10" t="s">
        <v>20</v>
      </c>
      <c r="E114" s="9"/>
      <c r="F114" s="9"/>
      <c r="G114" s="9"/>
      <c r="H114" s="9"/>
      <c r="I114" s="9"/>
      <c r="J114" s="9"/>
      <c r="K114" s="11" t="s">
        <v>19</v>
      </c>
      <c r="L114" s="9"/>
      <c r="M114" s="9"/>
      <c r="N114" s="9"/>
      <c r="O114" s="11" t="s">
        <v>19</v>
      </c>
      <c r="P114" s="11" t="s">
        <v>19</v>
      </c>
      <c r="Q114" s="11" t="s">
        <v>19</v>
      </c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40"/>
      <c r="AK114" s="40"/>
      <c r="AL114" s="45"/>
      <c r="AM114" s="45"/>
      <c r="AN114" s="45"/>
      <c r="AO114" s="45"/>
      <c r="AP114" s="45"/>
    </row>
    <row r="115" spans="1:42">
      <c r="A115" s="40"/>
      <c r="B115" s="38"/>
      <c r="C115" s="43"/>
      <c r="D115" s="12" t="s">
        <v>21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40"/>
      <c r="AK115" s="40"/>
      <c r="AL115" s="46"/>
      <c r="AM115" s="46"/>
      <c r="AN115" s="46"/>
      <c r="AO115" s="46"/>
      <c r="AP115" s="46"/>
    </row>
    <row r="116" spans="1:42">
      <c r="A116" s="39">
        <f t="shared" ref="A116" si="121">A113+1</f>
        <v>38</v>
      </c>
      <c r="B116" s="38" t="s">
        <v>60</v>
      </c>
      <c r="C116" s="42" t="s">
        <v>24</v>
      </c>
      <c r="D116" s="10" t="s">
        <v>18</v>
      </c>
      <c r="E116" s="9"/>
      <c r="F116" s="9"/>
      <c r="G116" s="9"/>
      <c r="H116" s="9"/>
      <c r="I116" s="9"/>
      <c r="J116" s="9"/>
      <c r="K116" s="9"/>
      <c r="L116" s="11" t="s">
        <v>19</v>
      </c>
      <c r="M116" s="9"/>
      <c r="N116" s="11" t="s">
        <v>19</v>
      </c>
      <c r="O116" s="9"/>
      <c r="P116" s="9"/>
      <c r="Q116" s="11" t="s">
        <v>19</v>
      </c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39">
        <f t="shared" ref="AJ116" si="122">COUNTIFS(E116:AI117,"✓")/2</f>
        <v>3</v>
      </c>
      <c r="AK116" s="39">
        <f t="shared" ref="AK116" si="123">SUM(O118:AG118)</f>
        <v>0</v>
      </c>
      <c r="AL116" s="44">
        <v>230000</v>
      </c>
      <c r="AM116" s="44">
        <v>25000</v>
      </c>
      <c r="AN116" s="44">
        <f t="shared" ref="AN116" si="124">AL116*AJ116</f>
        <v>690000</v>
      </c>
      <c r="AO116" s="44">
        <f t="shared" ref="AO116" si="125">AM116*AK116</f>
        <v>0</v>
      </c>
      <c r="AP116" s="44">
        <f t="shared" ref="AP116" si="126">AL116*AJ116+AM116*AK116</f>
        <v>690000</v>
      </c>
    </row>
    <row r="117" spans="1:42">
      <c r="A117" s="40"/>
      <c r="B117" s="38"/>
      <c r="C117" s="43"/>
      <c r="D117" s="10" t="s">
        <v>20</v>
      </c>
      <c r="E117" s="9"/>
      <c r="F117" s="9"/>
      <c r="G117" s="9"/>
      <c r="H117" s="9"/>
      <c r="I117" s="9"/>
      <c r="J117" s="9"/>
      <c r="K117" s="9"/>
      <c r="L117" s="11" t="s">
        <v>19</v>
      </c>
      <c r="M117" s="9"/>
      <c r="N117" s="11" t="s">
        <v>19</v>
      </c>
      <c r="O117" s="9"/>
      <c r="P117" s="9"/>
      <c r="Q117" s="11" t="s">
        <v>19</v>
      </c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40"/>
      <c r="AK117" s="40"/>
      <c r="AL117" s="45"/>
      <c r="AM117" s="45"/>
      <c r="AN117" s="45"/>
      <c r="AO117" s="45"/>
      <c r="AP117" s="45"/>
    </row>
    <row r="118" spans="1:42">
      <c r="A118" s="40"/>
      <c r="B118" s="38"/>
      <c r="C118" s="43"/>
      <c r="D118" s="12" t="s">
        <v>21</v>
      </c>
      <c r="E118" s="9"/>
      <c r="F118" s="9"/>
      <c r="G118" s="9"/>
      <c r="H118" s="9"/>
      <c r="I118" s="9"/>
      <c r="J118" s="9"/>
      <c r="K118" s="9"/>
      <c r="L118" s="9">
        <v>1</v>
      </c>
      <c r="M118" s="20">
        <v>3.5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40"/>
      <c r="AK118" s="40"/>
      <c r="AL118" s="46"/>
      <c r="AM118" s="46"/>
      <c r="AN118" s="46"/>
      <c r="AO118" s="46"/>
      <c r="AP118" s="46"/>
    </row>
    <row r="119" spans="1:42">
      <c r="A119" s="39">
        <f t="shared" ref="A119" si="127">A116+1</f>
        <v>39</v>
      </c>
      <c r="B119" s="38" t="s">
        <v>61</v>
      </c>
      <c r="C119" s="42" t="s">
        <v>24</v>
      </c>
      <c r="D119" s="10" t="s">
        <v>18</v>
      </c>
      <c r="E119" s="9"/>
      <c r="F119" s="9"/>
      <c r="G119" s="9"/>
      <c r="H119" s="9"/>
      <c r="I119" s="9"/>
      <c r="J119" s="9"/>
      <c r="K119" s="9"/>
      <c r="L119" s="11" t="s">
        <v>19</v>
      </c>
      <c r="M119" s="9"/>
      <c r="N119" s="11" t="s">
        <v>19</v>
      </c>
      <c r="O119" s="11" t="s">
        <v>19</v>
      </c>
      <c r="P119" s="11" t="s">
        <v>19</v>
      </c>
      <c r="Q119" s="11" t="s">
        <v>19</v>
      </c>
      <c r="R119" s="11" t="s">
        <v>19</v>
      </c>
      <c r="S119" s="11" t="s">
        <v>19</v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39">
        <f t="shared" ref="AJ119" si="128">COUNTIFS(E119:AI120,"✓")/2</f>
        <v>7</v>
      </c>
      <c r="AK119" s="39">
        <f t="shared" ref="AK119" si="129">SUM(O121:AG121)</f>
        <v>0</v>
      </c>
      <c r="AL119" s="44">
        <v>230000</v>
      </c>
      <c r="AM119" s="44">
        <v>25000</v>
      </c>
      <c r="AN119" s="44">
        <f t="shared" ref="AN119" si="130">AL119*AJ119</f>
        <v>1610000</v>
      </c>
      <c r="AO119" s="44">
        <f t="shared" ref="AO119" si="131">AM119*AK119</f>
        <v>0</v>
      </c>
      <c r="AP119" s="44">
        <f t="shared" ref="AP119" si="132">AL119*AJ119+AM119*AK119</f>
        <v>1610000</v>
      </c>
    </row>
    <row r="120" spans="1:42">
      <c r="A120" s="40"/>
      <c r="B120" s="38"/>
      <c r="C120" s="43"/>
      <c r="D120" s="10" t="s">
        <v>20</v>
      </c>
      <c r="E120" s="9"/>
      <c r="F120" s="9"/>
      <c r="G120" s="9"/>
      <c r="H120" s="9"/>
      <c r="I120" s="9"/>
      <c r="J120" s="9"/>
      <c r="K120" s="9"/>
      <c r="L120" s="11" t="s">
        <v>19</v>
      </c>
      <c r="M120" s="9"/>
      <c r="N120" s="11" t="s">
        <v>19</v>
      </c>
      <c r="O120" s="11" t="s">
        <v>19</v>
      </c>
      <c r="P120" s="11" t="s">
        <v>19</v>
      </c>
      <c r="Q120" s="11" t="s">
        <v>19</v>
      </c>
      <c r="R120" s="11" t="s">
        <v>19</v>
      </c>
      <c r="S120" s="11" t="s">
        <v>19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40"/>
      <c r="AK120" s="40"/>
      <c r="AL120" s="45"/>
      <c r="AM120" s="45"/>
      <c r="AN120" s="45"/>
      <c r="AO120" s="45"/>
      <c r="AP120" s="45"/>
    </row>
    <row r="121" spans="1:42">
      <c r="A121" s="40"/>
      <c r="B121" s="38"/>
      <c r="C121" s="43"/>
      <c r="D121" s="12" t="s">
        <v>21</v>
      </c>
      <c r="E121" s="9"/>
      <c r="F121" s="9"/>
      <c r="G121" s="9"/>
      <c r="H121" s="9"/>
      <c r="I121" s="9"/>
      <c r="J121" s="9"/>
      <c r="K121" s="9"/>
      <c r="L121" s="9">
        <v>1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40"/>
      <c r="AK121" s="40"/>
      <c r="AL121" s="46"/>
      <c r="AM121" s="46"/>
      <c r="AN121" s="46"/>
      <c r="AO121" s="46"/>
      <c r="AP121" s="46"/>
    </row>
    <row r="122" spans="1:42">
      <c r="A122" s="39">
        <f t="shared" ref="A122" si="133">A119+1</f>
        <v>40</v>
      </c>
      <c r="B122" s="38" t="s">
        <v>62</v>
      </c>
      <c r="C122" s="42" t="s">
        <v>24</v>
      </c>
      <c r="D122" s="10" t="s">
        <v>18</v>
      </c>
      <c r="E122" s="9"/>
      <c r="F122" s="9"/>
      <c r="G122" s="9"/>
      <c r="H122" s="9"/>
      <c r="I122" s="9"/>
      <c r="J122" s="9"/>
      <c r="K122" s="9"/>
      <c r="L122" s="9"/>
      <c r="M122" s="11" t="s">
        <v>19</v>
      </c>
      <c r="N122" s="9"/>
      <c r="O122" s="11" t="s">
        <v>19</v>
      </c>
      <c r="P122" s="11" t="s">
        <v>19</v>
      </c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39">
        <f t="shared" ref="AJ122" si="134">COUNTIFS(E122:AI123,"✓")/2</f>
        <v>3</v>
      </c>
      <c r="AK122" s="39">
        <f t="shared" ref="AK122" si="135">SUM(O124:AG124)</f>
        <v>0</v>
      </c>
      <c r="AL122" s="44">
        <v>230000</v>
      </c>
      <c r="AM122" s="44">
        <v>25000</v>
      </c>
      <c r="AN122" s="44">
        <f t="shared" ref="AN122" si="136">AL122*AJ122</f>
        <v>690000</v>
      </c>
      <c r="AO122" s="44">
        <f t="shared" ref="AO122" si="137">AM122*AK122</f>
        <v>0</v>
      </c>
      <c r="AP122" s="44">
        <f t="shared" ref="AP122" si="138">AL122*AJ122+AM122*AK122</f>
        <v>690000</v>
      </c>
    </row>
    <row r="123" spans="1:42">
      <c r="A123" s="40"/>
      <c r="B123" s="38"/>
      <c r="C123" s="43"/>
      <c r="D123" s="10" t="s">
        <v>20</v>
      </c>
      <c r="E123" s="9"/>
      <c r="F123" s="9"/>
      <c r="G123" s="9"/>
      <c r="H123" s="9"/>
      <c r="I123" s="9"/>
      <c r="J123" s="9"/>
      <c r="K123" s="9"/>
      <c r="L123" s="9"/>
      <c r="M123" s="11" t="s">
        <v>19</v>
      </c>
      <c r="N123" s="9"/>
      <c r="O123" s="11" t="s">
        <v>19</v>
      </c>
      <c r="P123" s="11" t="s">
        <v>19</v>
      </c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40"/>
      <c r="AK123" s="40"/>
      <c r="AL123" s="45"/>
      <c r="AM123" s="45"/>
      <c r="AN123" s="45"/>
      <c r="AO123" s="45"/>
      <c r="AP123" s="45"/>
    </row>
    <row r="124" spans="1:42">
      <c r="A124" s="40"/>
      <c r="B124" s="38"/>
      <c r="C124" s="43"/>
      <c r="D124" s="12" t="s">
        <v>21</v>
      </c>
      <c r="E124" s="9"/>
      <c r="F124" s="9"/>
      <c r="G124" s="9"/>
      <c r="H124" s="9"/>
      <c r="I124" s="9"/>
      <c r="J124" s="9"/>
      <c r="K124" s="9"/>
      <c r="L124" s="9"/>
      <c r="M124" s="9">
        <v>1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40"/>
      <c r="AK124" s="40"/>
      <c r="AL124" s="46"/>
      <c r="AM124" s="46"/>
      <c r="AN124" s="46"/>
      <c r="AO124" s="46"/>
      <c r="AP124" s="46"/>
    </row>
    <row r="125" spans="1:42">
      <c r="A125" s="39">
        <f t="shared" ref="A125" si="139">A122+1</f>
        <v>41</v>
      </c>
      <c r="B125" s="38" t="s">
        <v>63</v>
      </c>
      <c r="C125" s="42" t="s">
        <v>24</v>
      </c>
      <c r="D125" s="10" t="s">
        <v>18</v>
      </c>
      <c r="E125" s="9"/>
      <c r="F125" s="9"/>
      <c r="G125" s="9"/>
      <c r="H125" s="9"/>
      <c r="I125" s="9"/>
      <c r="J125" s="9"/>
      <c r="K125" s="9"/>
      <c r="L125" s="11" t="s">
        <v>19</v>
      </c>
      <c r="M125" s="11" t="s">
        <v>19</v>
      </c>
      <c r="N125" s="11" t="s">
        <v>19</v>
      </c>
      <c r="O125" s="11" t="s">
        <v>19</v>
      </c>
      <c r="P125" s="9"/>
      <c r="Q125" s="9"/>
      <c r="R125" s="11" t="s">
        <v>19</v>
      </c>
      <c r="S125" s="11" t="s">
        <v>19</v>
      </c>
      <c r="T125" s="11" t="s">
        <v>19</v>
      </c>
      <c r="U125" s="11" t="s">
        <v>19</v>
      </c>
      <c r="V125" s="9"/>
      <c r="W125" s="97" t="s">
        <v>19</v>
      </c>
      <c r="X125" s="97" t="s">
        <v>19</v>
      </c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39">
        <f t="shared" ref="AJ125" si="140">COUNTIFS(E125:AI126,"✓")/2</f>
        <v>10</v>
      </c>
      <c r="AK125" s="39">
        <f t="shared" ref="AK125" si="141">SUM(O127:AG127)</f>
        <v>0</v>
      </c>
      <c r="AL125" s="44">
        <v>230000</v>
      </c>
      <c r="AM125" s="44">
        <v>25000</v>
      </c>
      <c r="AN125" s="44">
        <f t="shared" ref="AN125" si="142">AL125*AJ125</f>
        <v>2300000</v>
      </c>
      <c r="AO125" s="44">
        <f t="shared" ref="AO125" si="143">AM125*AK125</f>
        <v>0</v>
      </c>
      <c r="AP125" s="44">
        <f t="shared" ref="AP125" si="144">AL125*AJ125+AM125*AK125</f>
        <v>2300000</v>
      </c>
    </row>
    <row r="126" spans="1:42">
      <c r="A126" s="40"/>
      <c r="B126" s="38"/>
      <c r="C126" s="43"/>
      <c r="D126" s="10" t="s">
        <v>20</v>
      </c>
      <c r="E126" s="9"/>
      <c r="F126" s="9"/>
      <c r="G126" s="9"/>
      <c r="H126" s="9"/>
      <c r="I126" s="9"/>
      <c r="J126" s="9"/>
      <c r="K126" s="9"/>
      <c r="L126" s="11" t="s">
        <v>19</v>
      </c>
      <c r="M126" s="11" t="s">
        <v>19</v>
      </c>
      <c r="N126" s="11" t="s">
        <v>19</v>
      </c>
      <c r="O126" s="11" t="s">
        <v>19</v>
      </c>
      <c r="P126" s="9"/>
      <c r="Q126" s="9"/>
      <c r="R126" s="11" t="s">
        <v>19</v>
      </c>
      <c r="S126" s="11" t="s">
        <v>19</v>
      </c>
      <c r="T126" s="11" t="s">
        <v>19</v>
      </c>
      <c r="U126" s="11" t="s">
        <v>19</v>
      </c>
      <c r="V126" s="9"/>
      <c r="W126" s="97" t="s">
        <v>19</v>
      </c>
      <c r="X126" s="97" t="s">
        <v>19</v>
      </c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40"/>
      <c r="AK126" s="40"/>
      <c r="AL126" s="45"/>
      <c r="AM126" s="45"/>
      <c r="AN126" s="45"/>
      <c r="AO126" s="45"/>
      <c r="AP126" s="45"/>
    </row>
    <row r="127" spans="1:42">
      <c r="A127" s="40"/>
      <c r="B127" s="38"/>
      <c r="C127" s="43"/>
      <c r="D127" s="12" t="s">
        <v>21</v>
      </c>
      <c r="E127" s="9"/>
      <c r="F127" s="9"/>
      <c r="G127" s="9"/>
      <c r="H127" s="9"/>
      <c r="I127" s="9"/>
      <c r="J127" s="9"/>
      <c r="K127" s="9"/>
      <c r="L127" s="9">
        <v>1</v>
      </c>
      <c r="M127" s="9">
        <v>13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40"/>
      <c r="AK127" s="40"/>
      <c r="AL127" s="46"/>
      <c r="AM127" s="46"/>
      <c r="AN127" s="46"/>
      <c r="AO127" s="46"/>
      <c r="AP127" s="46"/>
    </row>
    <row r="128" spans="1:42">
      <c r="A128" s="39">
        <f t="shared" ref="A128" si="145">A125+1</f>
        <v>42</v>
      </c>
      <c r="B128" s="38" t="s">
        <v>89</v>
      </c>
      <c r="C128" s="42" t="s">
        <v>24</v>
      </c>
      <c r="D128" s="10" t="s">
        <v>18</v>
      </c>
      <c r="E128" s="9"/>
      <c r="F128" s="9"/>
      <c r="G128" s="9"/>
      <c r="H128" s="9"/>
      <c r="I128" s="9"/>
      <c r="J128" s="9"/>
      <c r="K128" s="9"/>
      <c r="L128" s="11" t="s">
        <v>19</v>
      </c>
      <c r="M128" s="11" t="s">
        <v>19</v>
      </c>
      <c r="N128" s="11" t="s">
        <v>19</v>
      </c>
      <c r="O128" s="11" t="s">
        <v>19</v>
      </c>
      <c r="P128" s="11" t="s">
        <v>19</v>
      </c>
      <c r="Q128" s="11" t="s">
        <v>19</v>
      </c>
      <c r="R128" s="11" t="s">
        <v>19</v>
      </c>
      <c r="S128" s="11" t="s">
        <v>19</v>
      </c>
      <c r="T128" s="11" t="s">
        <v>19</v>
      </c>
      <c r="U128" s="37" t="s">
        <v>19</v>
      </c>
      <c r="V128" s="9"/>
      <c r="W128" s="97" t="s">
        <v>19</v>
      </c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39">
        <f t="shared" ref="AJ128" si="146">COUNTIFS(E128:AI129,"✓")/2</f>
        <v>11</v>
      </c>
      <c r="AK128" s="39">
        <f t="shared" ref="AK128" si="147">SUM(O130:AG130)</f>
        <v>0</v>
      </c>
      <c r="AL128" s="44">
        <v>230000</v>
      </c>
      <c r="AM128" s="44">
        <v>25000</v>
      </c>
      <c r="AN128" s="44">
        <f t="shared" ref="AN128" si="148">AL128*AJ128</f>
        <v>2530000</v>
      </c>
      <c r="AO128" s="44">
        <f t="shared" ref="AO128" si="149">AM128*AK128</f>
        <v>0</v>
      </c>
      <c r="AP128" s="44">
        <f t="shared" ref="AP128" si="150">AL128*AJ128+AM128*AK128</f>
        <v>2530000</v>
      </c>
    </row>
    <row r="129" spans="1:42">
      <c r="A129" s="40"/>
      <c r="B129" s="38"/>
      <c r="C129" s="43"/>
      <c r="D129" s="10" t="s">
        <v>20</v>
      </c>
      <c r="E129" s="9"/>
      <c r="F129" s="9"/>
      <c r="G129" s="9"/>
      <c r="H129" s="9"/>
      <c r="I129" s="9"/>
      <c r="J129" s="9"/>
      <c r="K129" s="9"/>
      <c r="L129" s="11" t="s">
        <v>19</v>
      </c>
      <c r="M129" s="11" t="s">
        <v>19</v>
      </c>
      <c r="N129" s="11" t="s">
        <v>19</v>
      </c>
      <c r="O129" s="11" t="s">
        <v>19</v>
      </c>
      <c r="P129" s="11" t="s">
        <v>19</v>
      </c>
      <c r="Q129" s="11" t="s">
        <v>19</v>
      </c>
      <c r="R129" s="11" t="s">
        <v>19</v>
      </c>
      <c r="S129" s="11" t="s">
        <v>19</v>
      </c>
      <c r="T129" s="11" t="s">
        <v>19</v>
      </c>
      <c r="U129" s="37" t="s">
        <v>19</v>
      </c>
      <c r="V129" s="9"/>
      <c r="W129" s="97" t="s">
        <v>19</v>
      </c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40"/>
      <c r="AK129" s="40"/>
      <c r="AL129" s="45"/>
      <c r="AM129" s="45"/>
      <c r="AN129" s="45"/>
      <c r="AO129" s="45"/>
      <c r="AP129" s="45"/>
    </row>
    <row r="130" spans="1:42">
      <c r="A130" s="40"/>
      <c r="B130" s="38"/>
      <c r="C130" s="43"/>
      <c r="D130" s="12" t="s">
        <v>21</v>
      </c>
      <c r="E130" s="9"/>
      <c r="F130" s="9"/>
      <c r="G130" s="9"/>
      <c r="H130" s="9"/>
      <c r="I130" s="9"/>
      <c r="J130" s="9"/>
      <c r="K130" s="9"/>
      <c r="L130" s="9">
        <v>1</v>
      </c>
      <c r="M130" s="9">
        <v>1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40"/>
      <c r="AK130" s="40"/>
      <c r="AL130" s="46"/>
      <c r="AM130" s="46"/>
      <c r="AN130" s="46"/>
      <c r="AO130" s="46"/>
      <c r="AP130" s="46"/>
    </row>
    <row r="131" spans="1:42">
      <c r="A131" s="39">
        <f t="shared" ref="A131" si="151">A128+1</f>
        <v>43</v>
      </c>
      <c r="B131" s="38" t="s">
        <v>64</v>
      </c>
      <c r="C131" s="42" t="s">
        <v>24</v>
      </c>
      <c r="D131" s="10" t="s">
        <v>18</v>
      </c>
      <c r="E131" s="9"/>
      <c r="F131" s="9"/>
      <c r="G131" s="9"/>
      <c r="H131" s="9"/>
      <c r="I131" s="9"/>
      <c r="J131" s="9"/>
      <c r="K131" s="11" t="s">
        <v>19</v>
      </c>
      <c r="L131" s="11" t="s">
        <v>19</v>
      </c>
      <c r="M131" s="9"/>
      <c r="N131" s="9"/>
      <c r="O131" s="11" t="s">
        <v>19</v>
      </c>
      <c r="P131" s="11" t="s">
        <v>19</v>
      </c>
      <c r="Q131" s="11" t="s">
        <v>19</v>
      </c>
      <c r="R131" s="11" t="s">
        <v>19</v>
      </c>
      <c r="S131" s="11" t="s">
        <v>19</v>
      </c>
      <c r="T131" s="11" t="s">
        <v>19</v>
      </c>
      <c r="U131" s="37" t="s">
        <v>19</v>
      </c>
      <c r="V131" s="9"/>
      <c r="W131" s="97" t="s">
        <v>19</v>
      </c>
      <c r="X131" s="97" t="s">
        <v>19</v>
      </c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39">
        <f t="shared" ref="AJ131" si="152">COUNTIFS(E131:AI132,"✓")/2</f>
        <v>11</v>
      </c>
      <c r="AK131" s="39">
        <f t="shared" ref="AK131" si="153">SUM(O133:AG133)</f>
        <v>0</v>
      </c>
      <c r="AL131" s="44">
        <v>230000</v>
      </c>
      <c r="AM131" s="44">
        <v>25000</v>
      </c>
      <c r="AN131" s="44">
        <f t="shared" ref="AN131" si="154">AL131*AJ131</f>
        <v>2530000</v>
      </c>
      <c r="AO131" s="44">
        <f t="shared" ref="AO131" si="155">AM131*AK131</f>
        <v>0</v>
      </c>
      <c r="AP131" s="44">
        <f t="shared" ref="AP131" si="156">AL131*AJ131+AM131*AK131</f>
        <v>2530000</v>
      </c>
    </row>
    <row r="132" spans="1:42">
      <c r="A132" s="40"/>
      <c r="B132" s="38"/>
      <c r="C132" s="43"/>
      <c r="D132" s="10" t="s">
        <v>20</v>
      </c>
      <c r="E132" s="9"/>
      <c r="F132" s="9"/>
      <c r="G132" s="9"/>
      <c r="H132" s="9"/>
      <c r="I132" s="9"/>
      <c r="J132" s="9"/>
      <c r="K132" s="11" t="s">
        <v>19</v>
      </c>
      <c r="L132" s="11" t="s">
        <v>19</v>
      </c>
      <c r="M132" s="9"/>
      <c r="N132" s="9"/>
      <c r="O132" s="11" t="s">
        <v>19</v>
      </c>
      <c r="P132" s="11" t="s">
        <v>19</v>
      </c>
      <c r="Q132" s="11" t="s">
        <v>19</v>
      </c>
      <c r="R132" s="11" t="s">
        <v>19</v>
      </c>
      <c r="S132" s="11" t="s">
        <v>19</v>
      </c>
      <c r="T132" s="11" t="s">
        <v>19</v>
      </c>
      <c r="U132" s="37" t="s">
        <v>19</v>
      </c>
      <c r="V132" s="9"/>
      <c r="W132" s="97" t="s">
        <v>19</v>
      </c>
      <c r="X132" s="97" t="s">
        <v>19</v>
      </c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40"/>
      <c r="AK132" s="40"/>
      <c r="AL132" s="45"/>
      <c r="AM132" s="45"/>
      <c r="AN132" s="45"/>
      <c r="AO132" s="45"/>
      <c r="AP132" s="45"/>
    </row>
    <row r="133" spans="1:42">
      <c r="A133" s="40"/>
      <c r="B133" s="38"/>
      <c r="C133" s="43"/>
      <c r="D133" s="12" t="s">
        <v>21</v>
      </c>
      <c r="E133" s="9"/>
      <c r="F133" s="9"/>
      <c r="G133" s="9"/>
      <c r="H133" s="9"/>
      <c r="I133" s="9"/>
      <c r="J133" s="9"/>
      <c r="K133" s="9"/>
      <c r="L133" s="9">
        <v>1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40"/>
      <c r="AK133" s="40"/>
      <c r="AL133" s="46"/>
      <c r="AM133" s="46"/>
      <c r="AN133" s="46"/>
      <c r="AO133" s="46"/>
      <c r="AP133" s="46"/>
    </row>
    <row r="134" spans="1:42">
      <c r="A134" s="39">
        <f t="shared" ref="A134" si="157">A131+1</f>
        <v>44</v>
      </c>
      <c r="B134" s="38" t="s">
        <v>65</v>
      </c>
      <c r="C134" s="42" t="s">
        <v>24</v>
      </c>
      <c r="D134" s="10" t="s">
        <v>18</v>
      </c>
      <c r="E134" s="9"/>
      <c r="F134" s="9"/>
      <c r="G134" s="9"/>
      <c r="H134" s="9"/>
      <c r="I134" s="9"/>
      <c r="J134" s="9"/>
      <c r="K134" s="11" t="s">
        <v>19</v>
      </c>
      <c r="L134" s="11" t="s">
        <v>19</v>
      </c>
      <c r="M134" s="11" t="s">
        <v>19</v>
      </c>
      <c r="N134" s="9"/>
      <c r="O134" s="11" t="s">
        <v>19</v>
      </c>
      <c r="P134" s="11" t="s">
        <v>19</v>
      </c>
      <c r="Q134" s="11" t="s">
        <v>19</v>
      </c>
      <c r="R134" s="11" t="s">
        <v>19</v>
      </c>
      <c r="S134" s="11" t="s">
        <v>19</v>
      </c>
      <c r="T134" s="11" t="s">
        <v>19</v>
      </c>
      <c r="U134" s="9"/>
      <c r="V134" s="9"/>
      <c r="W134" s="97" t="s">
        <v>19</v>
      </c>
      <c r="X134" s="97" t="s">
        <v>19</v>
      </c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39">
        <f t="shared" ref="AJ134" si="158">COUNTIFS(E134:AI135,"✓")/2</f>
        <v>11</v>
      </c>
      <c r="AK134" s="39">
        <f t="shared" ref="AK134" si="159">SUM(O136:AG136)</f>
        <v>0</v>
      </c>
      <c r="AL134" s="44">
        <v>230000</v>
      </c>
      <c r="AM134" s="44">
        <v>25000</v>
      </c>
      <c r="AN134" s="44">
        <f t="shared" ref="AN134" si="160">AL134*AJ134</f>
        <v>2530000</v>
      </c>
      <c r="AO134" s="44">
        <f t="shared" ref="AO134" si="161">AM134*AK134</f>
        <v>0</v>
      </c>
      <c r="AP134" s="44">
        <f t="shared" ref="AP134" si="162">AL134*AJ134+AM134*AK134</f>
        <v>2530000</v>
      </c>
    </row>
    <row r="135" spans="1:42">
      <c r="A135" s="40"/>
      <c r="B135" s="38"/>
      <c r="C135" s="43"/>
      <c r="D135" s="10" t="s">
        <v>20</v>
      </c>
      <c r="E135" s="9"/>
      <c r="F135" s="9"/>
      <c r="G135" s="9"/>
      <c r="H135" s="9"/>
      <c r="I135" s="9"/>
      <c r="J135" s="9"/>
      <c r="K135" s="11" t="s">
        <v>19</v>
      </c>
      <c r="L135" s="11" t="s">
        <v>19</v>
      </c>
      <c r="M135" s="11" t="s">
        <v>19</v>
      </c>
      <c r="N135" s="9"/>
      <c r="O135" s="11" t="s">
        <v>19</v>
      </c>
      <c r="P135" s="11" t="s">
        <v>19</v>
      </c>
      <c r="Q135" s="11" t="s">
        <v>19</v>
      </c>
      <c r="R135" s="11" t="s">
        <v>19</v>
      </c>
      <c r="S135" s="11" t="s">
        <v>19</v>
      </c>
      <c r="T135" s="11" t="s">
        <v>19</v>
      </c>
      <c r="U135" s="9"/>
      <c r="V135" s="9"/>
      <c r="W135" s="97" t="s">
        <v>19</v>
      </c>
      <c r="X135" s="97" t="s">
        <v>19</v>
      </c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40"/>
      <c r="AK135" s="40"/>
      <c r="AL135" s="45"/>
      <c r="AM135" s="45"/>
      <c r="AN135" s="45"/>
      <c r="AO135" s="45"/>
      <c r="AP135" s="45"/>
    </row>
    <row r="136" spans="1:42">
      <c r="A136" s="40"/>
      <c r="B136" s="38"/>
      <c r="C136" s="43"/>
      <c r="D136" s="12" t="s">
        <v>21</v>
      </c>
      <c r="E136" s="9"/>
      <c r="F136" s="9"/>
      <c r="G136" s="9"/>
      <c r="H136" s="9"/>
      <c r="I136" s="9"/>
      <c r="J136" s="9"/>
      <c r="K136" s="9"/>
      <c r="L136" s="9">
        <v>1</v>
      </c>
      <c r="M136" s="9">
        <v>1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40"/>
      <c r="AK136" s="40"/>
      <c r="AL136" s="46"/>
      <c r="AM136" s="46"/>
      <c r="AN136" s="46"/>
      <c r="AO136" s="46"/>
      <c r="AP136" s="46"/>
    </row>
    <row r="137" spans="1:42">
      <c r="A137" s="39">
        <f t="shared" ref="A137" si="163">A134+1</f>
        <v>45</v>
      </c>
      <c r="B137" s="38" t="s">
        <v>66</v>
      </c>
      <c r="C137" s="42" t="s">
        <v>24</v>
      </c>
      <c r="D137" s="10" t="s">
        <v>18</v>
      </c>
      <c r="E137" s="9"/>
      <c r="F137" s="9"/>
      <c r="G137" s="9"/>
      <c r="H137" s="9"/>
      <c r="I137" s="9"/>
      <c r="J137" s="9"/>
      <c r="K137" s="9"/>
      <c r="L137" s="11" t="s">
        <v>19</v>
      </c>
      <c r="M137" s="9"/>
      <c r="N137" s="9"/>
      <c r="O137" s="9"/>
      <c r="P137" s="9"/>
      <c r="Q137" s="9"/>
      <c r="R137" s="9"/>
      <c r="S137" s="9"/>
      <c r="T137" s="11" t="s">
        <v>19</v>
      </c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39">
        <f t="shared" ref="AJ137" si="164">COUNTIFS(E137:AI138,"✓")/2</f>
        <v>2</v>
      </c>
      <c r="AK137" s="39">
        <f t="shared" ref="AK137" si="165">SUM(O139:AG139)</f>
        <v>0</v>
      </c>
      <c r="AL137" s="44">
        <v>230000</v>
      </c>
      <c r="AM137" s="44">
        <v>25000</v>
      </c>
      <c r="AN137" s="44">
        <f t="shared" ref="AN137" si="166">AL137*AJ137</f>
        <v>460000</v>
      </c>
      <c r="AO137" s="44">
        <f t="shared" ref="AO137" si="167">AM137*AK137</f>
        <v>0</v>
      </c>
      <c r="AP137" s="44">
        <f t="shared" ref="AP137" si="168">AL137*AJ137+AM137*AK137</f>
        <v>460000</v>
      </c>
    </row>
    <row r="138" spans="1:42">
      <c r="A138" s="40"/>
      <c r="B138" s="38"/>
      <c r="C138" s="43"/>
      <c r="D138" s="10" t="s">
        <v>20</v>
      </c>
      <c r="E138" s="9"/>
      <c r="F138" s="9"/>
      <c r="G138" s="9"/>
      <c r="H138" s="9"/>
      <c r="I138" s="9"/>
      <c r="J138" s="9"/>
      <c r="K138" s="9"/>
      <c r="L138" s="11" t="s">
        <v>19</v>
      </c>
      <c r="M138" s="9"/>
      <c r="N138" s="9"/>
      <c r="O138" s="9"/>
      <c r="P138" s="9"/>
      <c r="Q138" s="9"/>
      <c r="R138" s="9"/>
      <c r="S138" s="9"/>
      <c r="T138" s="11" t="s">
        <v>19</v>
      </c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40"/>
      <c r="AK138" s="40"/>
      <c r="AL138" s="45"/>
      <c r="AM138" s="45"/>
      <c r="AN138" s="45"/>
      <c r="AO138" s="45"/>
      <c r="AP138" s="45"/>
    </row>
    <row r="139" spans="1:42">
      <c r="A139" s="40"/>
      <c r="B139" s="38"/>
      <c r="C139" s="43"/>
      <c r="D139" s="12" t="s">
        <v>21</v>
      </c>
      <c r="E139" s="9"/>
      <c r="F139" s="9"/>
      <c r="G139" s="9"/>
      <c r="H139" s="9"/>
      <c r="I139" s="9"/>
      <c r="J139" s="9"/>
      <c r="K139" s="9"/>
      <c r="L139" s="9">
        <v>1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40"/>
      <c r="AK139" s="40"/>
      <c r="AL139" s="46"/>
      <c r="AM139" s="46"/>
      <c r="AN139" s="46"/>
      <c r="AO139" s="46"/>
      <c r="AP139" s="46"/>
    </row>
    <row r="140" spans="1:42">
      <c r="A140" s="39">
        <f t="shared" ref="A140" si="169">A137+1</f>
        <v>46</v>
      </c>
      <c r="B140" s="39" t="s">
        <v>100</v>
      </c>
      <c r="C140" s="42" t="s">
        <v>24</v>
      </c>
      <c r="D140" s="12"/>
      <c r="E140" s="9"/>
      <c r="F140" s="9"/>
      <c r="G140" s="9"/>
      <c r="H140" s="9"/>
      <c r="I140" s="9"/>
      <c r="J140" s="9"/>
      <c r="K140" s="11" t="s">
        <v>19</v>
      </c>
      <c r="L140" s="9"/>
      <c r="M140" s="9"/>
      <c r="N140" s="9"/>
      <c r="O140" s="11" t="s">
        <v>19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39">
        <f t="shared" ref="AJ140" si="170">COUNTIFS(E140:AI141,"✓")/2</f>
        <v>2</v>
      </c>
      <c r="AK140" s="39">
        <f t="shared" ref="AK140" si="171">SUM(O142:AG142)</f>
        <v>0</v>
      </c>
      <c r="AL140" s="44">
        <v>230000</v>
      </c>
      <c r="AM140" s="44">
        <v>25000</v>
      </c>
      <c r="AN140" s="44">
        <f t="shared" ref="AN140" si="172">AL140*AJ140</f>
        <v>460000</v>
      </c>
      <c r="AO140" s="44">
        <f t="shared" ref="AO140" si="173">AM140*AK140</f>
        <v>0</v>
      </c>
      <c r="AP140" s="44">
        <f t="shared" ref="AP140" si="174">AL140*AJ140+AM140*AK140</f>
        <v>460000</v>
      </c>
    </row>
    <row r="141" spans="1:42">
      <c r="A141" s="40"/>
      <c r="B141" s="40"/>
      <c r="C141" s="43"/>
      <c r="D141" s="12"/>
      <c r="E141" s="9"/>
      <c r="F141" s="9"/>
      <c r="G141" s="9"/>
      <c r="H141" s="9"/>
      <c r="I141" s="9"/>
      <c r="J141" s="9"/>
      <c r="K141" s="11" t="s">
        <v>19</v>
      </c>
      <c r="L141" s="9"/>
      <c r="M141" s="9"/>
      <c r="N141" s="9"/>
      <c r="O141" s="11" t="s">
        <v>19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40"/>
      <c r="AK141" s="40"/>
      <c r="AL141" s="45"/>
      <c r="AM141" s="45"/>
      <c r="AN141" s="45"/>
      <c r="AO141" s="45"/>
      <c r="AP141" s="45"/>
    </row>
    <row r="142" spans="1:42">
      <c r="A142" s="40"/>
      <c r="B142" s="41"/>
      <c r="C142" s="43"/>
      <c r="D142" s="12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40"/>
      <c r="AK142" s="40"/>
      <c r="AL142" s="46"/>
      <c r="AM142" s="46"/>
      <c r="AN142" s="46"/>
      <c r="AO142" s="46"/>
      <c r="AP142" s="46"/>
    </row>
    <row r="143" spans="1:42">
      <c r="A143" s="39">
        <f t="shared" ref="A143" si="175">A140+1</f>
        <v>47</v>
      </c>
      <c r="B143" s="38" t="s">
        <v>67</v>
      </c>
      <c r="C143" s="42" t="s">
        <v>24</v>
      </c>
      <c r="D143" s="10" t="s">
        <v>18</v>
      </c>
      <c r="E143" s="9"/>
      <c r="F143" s="9"/>
      <c r="G143" s="9"/>
      <c r="H143" s="9"/>
      <c r="I143" s="9"/>
      <c r="J143" s="9"/>
      <c r="K143" s="11" t="s">
        <v>19</v>
      </c>
      <c r="L143" s="11" t="s">
        <v>19</v>
      </c>
      <c r="M143" s="9"/>
      <c r="N143" s="11" t="s">
        <v>19</v>
      </c>
      <c r="O143" s="11" t="s">
        <v>19</v>
      </c>
      <c r="P143" s="9"/>
      <c r="Q143" s="11" t="s">
        <v>19</v>
      </c>
      <c r="R143" s="11" t="s">
        <v>19</v>
      </c>
      <c r="S143" s="11" t="s">
        <v>19</v>
      </c>
      <c r="T143" s="11" t="s">
        <v>19</v>
      </c>
      <c r="U143" s="11" t="s">
        <v>19</v>
      </c>
      <c r="V143" s="9"/>
      <c r="W143" s="97" t="s">
        <v>19</v>
      </c>
      <c r="X143" s="97" t="s">
        <v>19</v>
      </c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39">
        <f t="shared" ref="AJ143" si="176">COUNTIFS(E143:AI144,"✓")/2</f>
        <v>11</v>
      </c>
      <c r="AK143" s="39">
        <f t="shared" ref="AK143" si="177">SUM(O145:AG145)</f>
        <v>0</v>
      </c>
      <c r="AL143" s="44">
        <v>230000</v>
      </c>
      <c r="AM143" s="44">
        <v>25000</v>
      </c>
      <c r="AN143" s="44">
        <f t="shared" ref="AN143" si="178">AL143*AJ143</f>
        <v>2530000</v>
      </c>
      <c r="AO143" s="44">
        <f t="shared" ref="AO143" si="179">AM143*AK143</f>
        <v>0</v>
      </c>
      <c r="AP143" s="44">
        <f t="shared" ref="AP143" si="180">AL143*AJ143+AM143*AK143</f>
        <v>2530000</v>
      </c>
    </row>
    <row r="144" spans="1:42">
      <c r="A144" s="40"/>
      <c r="B144" s="38"/>
      <c r="C144" s="43"/>
      <c r="D144" s="10" t="s">
        <v>20</v>
      </c>
      <c r="E144" s="9"/>
      <c r="F144" s="9"/>
      <c r="G144" s="9"/>
      <c r="H144" s="9"/>
      <c r="I144" s="9"/>
      <c r="J144" s="9"/>
      <c r="K144" s="11" t="s">
        <v>19</v>
      </c>
      <c r="L144" s="11" t="s">
        <v>19</v>
      </c>
      <c r="M144" s="9"/>
      <c r="N144" s="11" t="s">
        <v>19</v>
      </c>
      <c r="O144" s="11" t="s">
        <v>19</v>
      </c>
      <c r="P144" s="9"/>
      <c r="Q144" s="11" t="s">
        <v>19</v>
      </c>
      <c r="R144" s="11" t="s">
        <v>19</v>
      </c>
      <c r="S144" s="11" t="s">
        <v>19</v>
      </c>
      <c r="T144" s="11" t="s">
        <v>19</v>
      </c>
      <c r="U144" s="11" t="s">
        <v>19</v>
      </c>
      <c r="V144" s="9"/>
      <c r="W144" s="97" t="s">
        <v>19</v>
      </c>
      <c r="X144" s="97" t="s">
        <v>19</v>
      </c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40"/>
      <c r="AK144" s="40"/>
      <c r="AL144" s="45"/>
      <c r="AM144" s="45"/>
      <c r="AN144" s="45"/>
      <c r="AO144" s="45"/>
      <c r="AP144" s="45"/>
    </row>
    <row r="145" spans="1:42">
      <c r="A145" s="40"/>
      <c r="B145" s="38"/>
      <c r="C145" s="43"/>
      <c r="D145" s="12" t="s">
        <v>21</v>
      </c>
      <c r="E145" s="9"/>
      <c r="F145" s="9"/>
      <c r="G145" s="9"/>
      <c r="H145" s="9"/>
      <c r="I145" s="9"/>
      <c r="J145" s="9"/>
      <c r="K145" s="9"/>
      <c r="L145" s="9">
        <v>1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40"/>
      <c r="AK145" s="40"/>
      <c r="AL145" s="46"/>
      <c r="AM145" s="46"/>
      <c r="AN145" s="46"/>
      <c r="AO145" s="46"/>
      <c r="AP145" s="46"/>
    </row>
    <row r="146" spans="1:42">
      <c r="A146" s="39">
        <f t="shared" ref="A146" si="181">A143+1</f>
        <v>48</v>
      </c>
      <c r="B146" s="38" t="s">
        <v>99</v>
      </c>
      <c r="C146" s="42" t="s">
        <v>24</v>
      </c>
      <c r="D146" s="10" t="s">
        <v>18</v>
      </c>
      <c r="E146" s="9"/>
      <c r="F146" s="9"/>
      <c r="G146" s="9"/>
      <c r="H146" s="9"/>
      <c r="I146" s="9"/>
      <c r="J146" s="9"/>
      <c r="K146" s="9"/>
      <c r="L146" s="11"/>
      <c r="M146" s="11" t="s">
        <v>19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39">
        <f t="shared" ref="AJ146" si="182">COUNTIFS(E146:AI147,"✓")/2</f>
        <v>1</v>
      </c>
      <c r="AK146" s="39">
        <f t="shared" ref="AK146" si="183">SUM(O148:AG148)</f>
        <v>0</v>
      </c>
      <c r="AL146" s="44">
        <v>230000</v>
      </c>
      <c r="AM146" s="44">
        <v>25000</v>
      </c>
      <c r="AN146" s="44">
        <f t="shared" ref="AN146" si="184">AL146*AJ146</f>
        <v>230000</v>
      </c>
      <c r="AO146" s="44">
        <f t="shared" ref="AO146" si="185">AM146*AK146</f>
        <v>0</v>
      </c>
      <c r="AP146" s="44">
        <f t="shared" ref="AP146" si="186">AL146*AJ146+AM146*AK146</f>
        <v>230000</v>
      </c>
    </row>
    <row r="147" spans="1:42">
      <c r="A147" s="40"/>
      <c r="B147" s="38"/>
      <c r="C147" s="43"/>
      <c r="D147" s="10" t="s">
        <v>20</v>
      </c>
      <c r="E147" s="9"/>
      <c r="F147" s="9"/>
      <c r="G147" s="9"/>
      <c r="H147" s="9"/>
      <c r="I147" s="9"/>
      <c r="J147" s="9"/>
      <c r="K147" s="9"/>
      <c r="L147" s="11"/>
      <c r="M147" s="11" t="s">
        <v>19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40"/>
      <c r="AK147" s="40"/>
      <c r="AL147" s="45"/>
      <c r="AM147" s="45"/>
      <c r="AN147" s="45"/>
      <c r="AO147" s="45"/>
      <c r="AP147" s="45"/>
    </row>
    <row r="148" spans="1:42">
      <c r="A148" s="40"/>
      <c r="B148" s="38"/>
      <c r="C148" s="43"/>
      <c r="D148" s="12" t="s">
        <v>21</v>
      </c>
      <c r="E148" s="9"/>
      <c r="F148" s="9"/>
      <c r="G148" s="9"/>
      <c r="H148" s="9"/>
      <c r="I148" s="9"/>
      <c r="J148" s="9"/>
      <c r="K148" s="9"/>
      <c r="L148" s="9"/>
      <c r="M148" s="9">
        <v>1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40"/>
      <c r="AK148" s="40"/>
      <c r="AL148" s="46"/>
      <c r="AM148" s="46"/>
      <c r="AN148" s="46"/>
      <c r="AO148" s="46"/>
      <c r="AP148" s="46"/>
    </row>
    <row r="149" spans="1:42">
      <c r="A149" s="39">
        <f t="shared" ref="A149" si="187">A146+1</f>
        <v>49</v>
      </c>
      <c r="B149" s="38" t="s">
        <v>97</v>
      </c>
      <c r="C149" s="42" t="s">
        <v>24</v>
      </c>
      <c r="D149" s="10" t="s">
        <v>18</v>
      </c>
      <c r="E149" s="9"/>
      <c r="F149" s="9"/>
      <c r="G149" s="9"/>
      <c r="H149" s="9"/>
      <c r="I149" s="9"/>
      <c r="J149" s="9"/>
      <c r="K149" s="9"/>
      <c r="L149" s="11"/>
      <c r="M149" s="11" t="s">
        <v>19</v>
      </c>
      <c r="N149" s="11" t="s">
        <v>19</v>
      </c>
      <c r="O149" s="11" t="s">
        <v>19</v>
      </c>
      <c r="P149" s="11" t="s">
        <v>19</v>
      </c>
      <c r="Q149" s="11" t="s">
        <v>19</v>
      </c>
      <c r="R149" s="11" t="s">
        <v>19</v>
      </c>
      <c r="S149" s="9"/>
      <c r="T149" s="11" t="s">
        <v>19</v>
      </c>
      <c r="U149" s="11" t="s">
        <v>19</v>
      </c>
      <c r="V149" s="9"/>
      <c r="W149" s="97" t="s">
        <v>19</v>
      </c>
      <c r="X149" s="97" t="s">
        <v>19</v>
      </c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39">
        <f t="shared" ref="AJ149" si="188">COUNTIFS(E149:AI150,"✓")/2</f>
        <v>10</v>
      </c>
      <c r="AK149" s="39">
        <f t="shared" ref="AK149" si="189">SUM(O151:AG151)</f>
        <v>0</v>
      </c>
      <c r="AL149" s="44">
        <v>230000</v>
      </c>
      <c r="AM149" s="44">
        <v>25000</v>
      </c>
      <c r="AN149" s="44">
        <f t="shared" ref="AN149" si="190">AL149*AJ149</f>
        <v>2300000</v>
      </c>
      <c r="AO149" s="44">
        <f t="shared" ref="AO149" si="191">AM149*AK149</f>
        <v>0</v>
      </c>
      <c r="AP149" s="44">
        <f t="shared" ref="AP149" si="192">AL149*AJ149+AM149*AK149</f>
        <v>2300000</v>
      </c>
    </row>
    <row r="150" spans="1:42">
      <c r="A150" s="40"/>
      <c r="B150" s="38"/>
      <c r="C150" s="43"/>
      <c r="D150" s="10" t="s">
        <v>20</v>
      </c>
      <c r="E150" s="9"/>
      <c r="F150" s="9"/>
      <c r="G150" s="9"/>
      <c r="H150" s="9"/>
      <c r="I150" s="9"/>
      <c r="J150" s="9"/>
      <c r="K150" s="9"/>
      <c r="L150" s="11"/>
      <c r="M150" s="11" t="s">
        <v>19</v>
      </c>
      <c r="N150" s="11" t="s">
        <v>19</v>
      </c>
      <c r="O150" s="11" t="s">
        <v>19</v>
      </c>
      <c r="P150" s="11" t="s">
        <v>19</v>
      </c>
      <c r="Q150" s="11" t="s">
        <v>19</v>
      </c>
      <c r="R150" s="11" t="s">
        <v>19</v>
      </c>
      <c r="S150" s="9"/>
      <c r="T150" s="11" t="s">
        <v>19</v>
      </c>
      <c r="U150" s="11" t="s">
        <v>19</v>
      </c>
      <c r="V150" s="9"/>
      <c r="W150" s="97" t="s">
        <v>19</v>
      </c>
      <c r="X150" s="97" t="s">
        <v>19</v>
      </c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40"/>
      <c r="AK150" s="40"/>
      <c r="AL150" s="45"/>
      <c r="AM150" s="45"/>
      <c r="AN150" s="45"/>
      <c r="AO150" s="45"/>
      <c r="AP150" s="45"/>
    </row>
    <row r="151" spans="1:42">
      <c r="A151" s="40"/>
      <c r="B151" s="38"/>
      <c r="C151" s="43"/>
      <c r="D151" s="12" t="s">
        <v>21</v>
      </c>
      <c r="E151" s="9"/>
      <c r="F151" s="9"/>
      <c r="G151" s="9"/>
      <c r="H151" s="9"/>
      <c r="I151" s="9"/>
      <c r="J151" s="9"/>
      <c r="K151" s="9"/>
      <c r="L151" s="9"/>
      <c r="M151" s="9">
        <v>1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40"/>
      <c r="AK151" s="40"/>
      <c r="AL151" s="46"/>
      <c r="AM151" s="46"/>
      <c r="AN151" s="46"/>
      <c r="AO151" s="46"/>
      <c r="AP151" s="46"/>
    </row>
    <row r="152" spans="1:42">
      <c r="A152" s="39">
        <f t="shared" ref="A152" si="193">A149+1</f>
        <v>50</v>
      </c>
      <c r="B152" s="38" t="s">
        <v>98</v>
      </c>
      <c r="C152" s="42" t="s">
        <v>24</v>
      </c>
      <c r="D152" s="10" t="s">
        <v>18</v>
      </c>
      <c r="E152" s="9"/>
      <c r="F152" s="9"/>
      <c r="G152" s="9"/>
      <c r="H152" s="9"/>
      <c r="I152" s="9"/>
      <c r="J152" s="9"/>
      <c r="K152" s="9"/>
      <c r="L152" s="11"/>
      <c r="M152" s="11" t="s">
        <v>19</v>
      </c>
      <c r="N152" s="9"/>
      <c r="O152" s="11" t="s">
        <v>19</v>
      </c>
      <c r="P152" s="11" t="s">
        <v>19</v>
      </c>
      <c r="Q152" s="11" t="s">
        <v>19</v>
      </c>
      <c r="R152" s="11" t="s">
        <v>19</v>
      </c>
      <c r="S152" s="9"/>
      <c r="T152" s="9"/>
      <c r="U152" s="9"/>
      <c r="V152" s="9"/>
      <c r="W152" s="97" t="s">
        <v>19</v>
      </c>
      <c r="X152" s="97" t="s">
        <v>19</v>
      </c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39">
        <f t="shared" ref="AJ152" si="194">COUNTIFS(E152:AI153,"✓")/2</f>
        <v>7</v>
      </c>
      <c r="AK152" s="39">
        <f t="shared" ref="AK152" si="195">SUM(O154:AG154)</f>
        <v>0</v>
      </c>
      <c r="AL152" s="44">
        <v>230000</v>
      </c>
      <c r="AM152" s="44">
        <v>25000</v>
      </c>
      <c r="AN152" s="44">
        <f t="shared" ref="AN152" si="196">AL152*AJ152</f>
        <v>1610000</v>
      </c>
      <c r="AO152" s="44">
        <f t="shared" ref="AO152" si="197">AM152*AK152</f>
        <v>0</v>
      </c>
      <c r="AP152" s="44">
        <f t="shared" ref="AP152" si="198">AL152*AJ152+AM152*AK152</f>
        <v>1610000</v>
      </c>
    </row>
    <row r="153" spans="1:42">
      <c r="A153" s="40"/>
      <c r="B153" s="38"/>
      <c r="C153" s="43"/>
      <c r="D153" s="10" t="s">
        <v>20</v>
      </c>
      <c r="E153" s="9"/>
      <c r="F153" s="9"/>
      <c r="G153" s="9"/>
      <c r="H153" s="9"/>
      <c r="I153" s="9"/>
      <c r="J153" s="9"/>
      <c r="K153" s="9"/>
      <c r="L153" s="11"/>
      <c r="M153" s="11" t="s">
        <v>19</v>
      </c>
      <c r="N153" s="9"/>
      <c r="O153" s="11" t="s">
        <v>19</v>
      </c>
      <c r="P153" s="11" t="s">
        <v>19</v>
      </c>
      <c r="Q153" s="11" t="s">
        <v>19</v>
      </c>
      <c r="R153" s="11" t="s">
        <v>19</v>
      </c>
      <c r="S153" s="9"/>
      <c r="T153" s="9"/>
      <c r="U153" s="9"/>
      <c r="V153" s="9"/>
      <c r="W153" s="97" t="s">
        <v>19</v>
      </c>
      <c r="X153" s="97" t="s">
        <v>19</v>
      </c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40"/>
      <c r="AK153" s="40"/>
      <c r="AL153" s="45"/>
      <c r="AM153" s="45"/>
      <c r="AN153" s="45"/>
      <c r="AO153" s="45"/>
      <c r="AP153" s="45"/>
    </row>
    <row r="154" spans="1:42">
      <c r="A154" s="40"/>
      <c r="B154" s="38"/>
      <c r="C154" s="43"/>
      <c r="D154" s="12" t="s">
        <v>21</v>
      </c>
      <c r="E154" s="9"/>
      <c r="F154" s="9"/>
      <c r="G154" s="9"/>
      <c r="H154" s="9"/>
      <c r="I154" s="9"/>
      <c r="J154" s="9"/>
      <c r="K154" s="9"/>
      <c r="L154" s="9"/>
      <c r="M154" s="9">
        <v>1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40"/>
      <c r="AK154" s="40"/>
      <c r="AL154" s="46"/>
      <c r="AM154" s="46"/>
      <c r="AN154" s="46"/>
      <c r="AO154" s="46"/>
      <c r="AP154" s="46"/>
    </row>
    <row r="155" spans="1:42">
      <c r="A155" s="39">
        <f t="shared" ref="A155" si="199">A152+1</f>
        <v>51</v>
      </c>
      <c r="B155" s="38" t="s">
        <v>68</v>
      </c>
      <c r="C155" s="42" t="s">
        <v>24</v>
      </c>
      <c r="D155" s="10" t="s">
        <v>18</v>
      </c>
      <c r="E155" s="9"/>
      <c r="F155" s="9"/>
      <c r="G155" s="9"/>
      <c r="H155" s="9"/>
      <c r="I155" s="9"/>
      <c r="J155" s="9"/>
      <c r="K155" s="11" t="s">
        <v>19</v>
      </c>
      <c r="L155" s="11" t="s">
        <v>19</v>
      </c>
      <c r="M155" s="9"/>
      <c r="N155" s="9"/>
      <c r="O155" s="11" t="s">
        <v>19</v>
      </c>
      <c r="P155" s="11" t="s">
        <v>19</v>
      </c>
      <c r="Q155" s="11" t="s">
        <v>19</v>
      </c>
      <c r="R155" s="11" t="s">
        <v>19</v>
      </c>
      <c r="S155" s="11" t="s">
        <v>19</v>
      </c>
      <c r="T155" s="11" t="s">
        <v>19</v>
      </c>
      <c r="U155" s="11" t="s">
        <v>19</v>
      </c>
      <c r="V155" s="9"/>
      <c r="W155" s="97" t="s">
        <v>19</v>
      </c>
      <c r="X155" s="97" t="s">
        <v>19</v>
      </c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39">
        <f t="shared" ref="AJ155" si="200">COUNTIFS(E155:AI156,"✓")/2</f>
        <v>11</v>
      </c>
      <c r="AK155" s="39">
        <f t="shared" ref="AK155" si="201">SUM(O157:AG157)</f>
        <v>0</v>
      </c>
      <c r="AL155" s="44">
        <v>230000</v>
      </c>
      <c r="AM155" s="44">
        <v>25000</v>
      </c>
      <c r="AN155" s="44">
        <f t="shared" ref="AN155" si="202">AL155*AJ155</f>
        <v>2530000</v>
      </c>
      <c r="AO155" s="44">
        <f t="shared" ref="AO155" si="203">AM155*AK155</f>
        <v>0</v>
      </c>
      <c r="AP155" s="44">
        <f t="shared" ref="AP155" si="204">AL155*AJ155+AM155*AK155</f>
        <v>2530000</v>
      </c>
    </row>
    <row r="156" spans="1:42">
      <c r="A156" s="40"/>
      <c r="B156" s="38"/>
      <c r="C156" s="43"/>
      <c r="D156" s="10" t="s">
        <v>20</v>
      </c>
      <c r="E156" s="9"/>
      <c r="F156" s="9"/>
      <c r="G156" s="9"/>
      <c r="H156" s="9"/>
      <c r="I156" s="9"/>
      <c r="J156" s="9"/>
      <c r="K156" s="11" t="s">
        <v>19</v>
      </c>
      <c r="L156" s="11" t="s">
        <v>19</v>
      </c>
      <c r="M156" s="9"/>
      <c r="N156" s="9"/>
      <c r="O156" s="11" t="s">
        <v>19</v>
      </c>
      <c r="P156" s="11" t="s">
        <v>19</v>
      </c>
      <c r="Q156" s="11" t="s">
        <v>19</v>
      </c>
      <c r="R156" s="11" t="s">
        <v>19</v>
      </c>
      <c r="S156" s="11" t="s">
        <v>19</v>
      </c>
      <c r="T156" s="11" t="s">
        <v>19</v>
      </c>
      <c r="U156" s="11" t="s">
        <v>19</v>
      </c>
      <c r="V156" s="9"/>
      <c r="W156" s="97" t="s">
        <v>19</v>
      </c>
      <c r="X156" s="97" t="s">
        <v>19</v>
      </c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40"/>
      <c r="AK156" s="40"/>
      <c r="AL156" s="45"/>
      <c r="AM156" s="45"/>
      <c r="AN156" s="45"/>
      <c r="AO156" s="45"/>
      <c r="AP156" s="45"/>
    </row>
    <row r="157" spans="1:42">
      <c r="A157" s="40"/>
      <c r="B157" s="38"/>
      <c r="C157" s="43"/>
      <c r="D157" s="12" t="s">
        <v>21</v>
      </c>
      <c r="E157" s="9"/>
      <c r="F157" s="9"/>
      <c r="G157" s="9"/>
      <c r="H157" s="9"/>
      <c r="I157" s="9"/>
      <c r="J157" s="9"/>
      <c r="K157" s="9"/>
      <c r="L157" s="9">
        <v>1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40"/>
      <c r="AK157" s="40"/>
      <c r="AL157" s="46"/>
      <c r="AM157" s="46"/>
      <c r="AN157" s="46"/>
      <c r="AO157" s="46"/>
      <c r="AP157" s="46"/>
    </row>
    <row r="158" spans="1:42">
      <c r="A158" s="38"/>
      <c r="B158" s="39" t="s">
        <v>110</v>
      </c>
      <c r="C158" s="42" t="s">
        <v>24</v>
      </c>
      <c r="D158" s="12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11" t="s">
        <v>19</v>
      </c>
      <c r="P158" s="11" t="s">
        <v>19</v>
      </c>
      <c r="Q158" s="11" t="s">
        <v>19</v>
      </c>
      <c r="R158" s="11" t="s">
        <v>19</v>
      </c>
      <c r="S158" s="9"/>
      <c r="T158" s="9"/>
      <c r="U158" s="9"/>
      <c r="V158" s="9"/>
      <c r="W158" s="9"/>
      <c r="X158" s="97" t="s">
        <v>19</v>
      </c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23"/>
      <c r="AK158" s="23"/>
      <c r="AL158" s="22"/>
      <c r="AM158" s="22"/>
      <c r="AN158" s="22"/>
      <c r="AO158" s="22"/>
      <c r="AP158" s="22"/>
    </row>
    <row r="159" spans="1:42">
      <c r="A159" s="38"/>
      <c r="B159" s="40"/>
      <c r="C159" s="43"/>
      <c r="D159" s="12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11" t="s">
        <v>19</v>
      </c>
      <c r="P159" s="11" t="s">
        <v>19</v>
      </c>
      <c r="Q159" s="11" t="s">
        <v>19</v>
      </c>
      <c r="R159" s="11" t="s">
        <v>19</v>
      </c>
      <c r="S159" s="9"/>
      <c r="T159" s="9"/>
      <c r="U159" s="9"/>
      <c r="V159" s="9"/>
      <c r="W159" s="9"/>
      <c r="X159" s="97" t="s">
        <v>19</v>
      </c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23"/>
      <c r="AK159" s="23"/>
      <c r="AL159" s="22"/>
      <c r="AM159" s="22"/>
      <c r="AN159" s="22"/>
      <c r="AO159" s="22"/>
      <c r="AP159" s="22"/>
    </row>
    <row r="160" spans="1:42">
      <c r="A160" s="38"/>
      <c r="B160" s="41"/>
      <c r="C160" s="43"/>
      <c r="D160" s="12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23"/>
      <c r="AK160" s="23"/>
      <c r="AL160" s="22"/>
      <c r="AM160" s="22"/>
      <c r="AN160" s="22"/>
      <c r="AO160" s="22"/>
      <c r="AP160" s="22"/>
    </row>
    <row r="161" spans="1:42">
      <c r="A161" s="39">
        <f t="shared" ref="A161" si="205">A155+1</f>
        <v>52</v>
      </c>
      <c r="B161" s="38" t="s">
        <v>69</v>
      </c>
      <c r="C161" s="42" t="s">
        <v>24</v>
      </c>
      <c r="D161" s="10" t="s">
        <v>18</v>
      </c>
      <c r="E161" s="9"/>
      <c r="F161" s="9"/>
      <c r="G161" s="9"/>
      <c r="H161" s="9"/>
      <c r="I161" s="9"/>
      <c r="J161" s="9"/>
      <c r="K161" s="9"/>
      <c r="L161" s="11" t="s">
        <v>19</v>
      </c>
      <c r="M161" s="11" t="s">
        <v>19</v>
      </c>
      <c r="N161" s="9"/>
      <c r="O161" s="11" t="s">
        <v>19</v>
      </c>
      <c r="P161" s="11" t="s">
        <v>19</v>
      </c>
      <c r="Q161" s="11" t="s">
        <v>19</v>
      </c>
      <c r="R161" s="11" t="s">
        <v>19</v>
      </c>
      <c r="S161" s="11" t="s">
        <v>19</v>
      </c>
      <c r="T161" s="9"/>
      <c r="U161" s="11" t="s">
        <v>19</v>
      </c>
      <c r="V161" s="9"/>
      <c r="W161" s="97" t="s">
        <v>19</v>
      </c>
      <c r="X161" s="97" t="s">
        <v>19</v>
      </c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39">
        <f t="shared" ref="AJ161" si="206">COUNTIFS(E161:AI162,"✓")/2</f>
        <v>10</v>
      </c>
      <c r="AK161" s="39">
        <f t="shared" ref="AK161" si="207">SUM(O163:AG163)</f>
        <v>0</v>
      </c>
      <c r="AL161" s="44">
        <v>230000</v>
      </c>
      <c r="AM161" s="44">
        <v>25000</v>
      </c>
      <c r="AN161" s="44">
        <f t="shared" ref="AN161" si="208">AL161*AJ161</f>
        <v>2300000</v>
      </c>
      <c r="AO161" s="44">
        <f t="shared" ref="AO161" si="209">AM161*AK161</f>
        <v>0</v>
      </c>
      <c r="AP161" s="44">
        <f t="shared" ref="AP161" si="210">AL161*AJ161+AM161*AK161</f>
        <v>2300000</v>
      </c>
    </row>
    <row r="162" spans="1:42">
      <c r="A162" s="40"/>
      <c r="B162" s="38"/>
      <c r="C162" s="43"/>
      <c r="D162" s="10" t="s">
        <v>20</v>
      </c>
      <c r="E162" s="9"/>
      <c r="F162" s="9"/>
      <c r="G162" s="9"/>
      <c r="H162" s="9"/>
      <c r="I162" s="9"/>
      <c r="J162" s="9"/>
      <c r="K162" s="9"/>
      <c r="L162" s="11" t="s">
        <v>19</v>
      </c>
      <c r="M162" s="11" t="s">
        <v>19</v>
      </c>
      <c r="N162" s="9"/>
      <c r="O162" s="11" t="s">
        <v>19</v>
      </c>
      <c r="P162" s="11" t="s">
        <v>19</v>
      </c>
      <c r="Q162" s="11" t="s">
        <v>19</v>
      </c>
      <c r="R162" s="11" t="s">
        <v>19</v>
      </c>
      <c r="S162" s="11" t="s">
        <v>19</v>
      </c>
      <c r="T162" s="9"/>
      <c r="U162" s="11" t="s">
        <v>19</v>
      </c>
      <c r="V162" s="9"/>
      <c r="W162" s="97" t="s">
        <v>19</v>
      </c>
      <c r="X162" s="97" t="s">
        <v>19</v>
      </c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40"/>
      <c r="AK162" s="40"/>
      <c r="AL162" s="45"/>
      <c r="AM162" s="45"/>
      <c r="AN162" s="45"/>
      <c r="AO162" s="45"/>
      <c r="AP162" s="45"/>
    </row>
    <row r="163" spans="1:42">
      <c r="A163" s="40"/>
      <c r="B163" s="38"/>
      <c r="C163" s="43"/>
      <c r="D163" s="12" t="s">
        <v>21</v>
      </c>
      <c r="E163" s="9"/>
      <c r="F163" s="9"/>
      <c r="G163" s="9"/>
      <c r="H163" s="9"/>
      <c r="I163" s="9"/>
      <c r="J163" s="9"/>
      <c r="K163" s="9"/>
      <c r="L163" s="9">
        <v>1</v>
      </c>
      <c r="M163" s="9">
        <v>1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40"/>
      <c r="AK163" s="40"/>
      <c r="AL163" s="46"/>
      <c r="AM163" s="46"/>
      <c r="AN163" s="46"/>
      <c r="AO163" s="46"/>
      <c r="AP163" s="46"/>
    </row>
    <row r="164" spans="1:42">
      <c r="A164" s="39">
        <f t="shared" ref="A164" si="211">A161+1</f>
        <v>53</v>
      </c>
      <c r="B164" s="38" t="s">
        <v>87</v>
      </c>
      <c r="C164" s="42" t="s">
        <v>24</v>
      </c>
      <c r="D164" s="10" t="s">
        <v>18</v>
      </c>
      <c r="E164" s="9"/>
      <c r="F164" s="9"/>
      <c r="G164" s="9"/>
      <c r="H164" s="9"/>
      <c r="I164" s="9"/>
      <c r="J164" s="9"/>
      <c r="K164" s="9"/>
      <c r="L164" s="11" t="s">
        <v>19</v>
      </c>
      <c r="M164" s="11"/>
      <c r="N164" s="9"/>
      <c r="O164" s="11" t="s">
        <v>19</v>
      </c>
      <c r="P164" s="11" t="s">
        <v>19</v>
      </c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39">
        <f>COUNTIFS(E164:AI165,"✓")/2</f>
        <v>3</v>
      </c>
      <c r="AK164" s="39">
        <f t="shared" ref="AK164" si="212">SUM(O166:AG166)</f>
        <v>0</v>
      </c>
      <c r="AL164" s="44">
        <v>230000</v>
      </c>
      <c r="AM164" s="44">
        <v>25000</v>
      </c>
      <c r="AN164" s="44">
        <f>AL164*AJ164</f>
        <v>690000</v>
      </c>
      <c r="AO164" s="44">
        <f>AM164*AK164</f>
        <v>0</v>
      </c>
      <c r="AP164" s="44"/>
    </row>
    <row r="165" spans="1:42">
      <c r="A165" s="40"/>
      <c r="B165" s="38"/>
      <c r="C165" s="43"/>
      <c r="D165" s="10" t="s">
        <v>20</v>
      </c>
      <c r="E165" s="9"/>
      <c r="F165" s="9"/>
      <c r="G165" s="9"/>
      <c r="H165" s="9"/>
      <c r="I165" s="9"/>
      <c r="J165" s="9"/>
      <c r="K165" s="9"/>
      <c r="L165" s="11" t="s">
        <v>19</v>
      </c>
      <c r="M165" s="11"/>
      <c r="N165" s="9"/>
      <c r="O165" s="11" t="s">
        <v>19</v>
      </c>
      <c r="P165" s="11" t="s">
        <v>19</v>
      </c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40"/>
      <c r="AK165" s="40"/>
      <c r="AL165" s="45"/>
      <c r="AM165" s="45"/>
      <c r="AN165" s="45"/>
      <c r="AO165" s="45"/>
      <c r="AP165" s="45"/>
    </row>
    <row r="166" spans="1:42">
      <c r="A166" s="40"/>
      <c r="B166" s="38"/>
      <c r="C166" s="43"/>
      <c r="D166" s="12" t="s">
        <v>21</v>
      </c>
      <c r="E166" s="9"/>
      <c r="F166" s="9"/>
      <c r="G166" s="9"/>
      <c r="H166" s="9"/>
      <c r="I166" s="9"/>
      <c r="J166" s="9"/>
      <c r="K166" s="9"/>
      <c r="L166" s="9">
        <v>1</v>
      </c>
      <c r="M166" s="20">
        <v>3.5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40"/>
      <c r="AK166" s="40"/>
      <c r="AL166" s="46"/>
      <c r="AM166" s="46"/>
      <c r="AN166" s="46"/>
      <c r="AO166" s="46"/>
      <c r="AP166" s="46"/>
    </row>
    <row r="167" spans="1:42">
      <c r="A167" s="39">
        <f t="shared" ref="A167" si="213">A164+1</f>
        <v>54</v>
      </c>
      <c r="B167" s="38" t="s">
        <v>88</v>
      </c>
      <c r="C167" s="42" t="s">
        <v>24</v>
      </c>
      <c r="D167" s="10" t="s">
        <v>18</v>
      </c>
      <c r="E167" s="9"/>
      <c r="F167" s="9"/>
      <c r="G167" s="9"/>
      <c r="H167" s="9"/>
      <c r="I167" s="9"/>
      <c r="J167" s="9"/>
      <c r="K167" s="11" t="s">
        <v>19</v>
      </c>
      <c r="L167" s="11" t="s">
        <v>19</v>
      </c>
      <c r="M167" s="11" t="s">
        <v>19</v>
      </c>
      <c r="N167" s="11" t="s">
        <v>19</v>
      </c>
      <c r="O167" s="11" t="s">
        <v>19</v>
      </c>
      <c r="P167" s="11" t="s">
        <v>19</v>
      </c>
      <c r="Q167" s="11" t="s">
        <v>19</v>
      </c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39">
        <f>COUNTIFS(E167:AI168,"✓")/2</f>
        <v>7</v>
      </c>
      <c r="AK167" s="39">
        <f>SUM(N169)</f>
        <v>0</v>
      </c>
      <c r="AL167" s="44">
        <v>230000</v>
      </c>
      <c r="AM167" s="44">
        <v>25000</v>
      </c>
      <c r="AN167" s="44">
        <f>AL167*AJ167</f>
        <v>1610000</v>
      </c>
      <c r="AO167" s="44">
        <f>AM167*AK167</f>
        <v>0</v>
      </c>
      <c r="AP167" s="44">
        <f t="shared" ref="AP167" si="214">AL167*AJ167+AM167*AK167</f>
        <v>1610000</v>
      </c>
    </row>
    <row r="168" spans="1:42">
      <c r="A168" s="40"/>
      <c r="B168" s="38"/>
      <c r="C168" s="43"/>
      <c r="D168" s="10" t="s">
        <v>20</v>
      </c>
      <c r="E168" s="9"/>
      <c r="F168" s="9"/>
      <c r="G168" s="9"/>
      <c r="H168" s="9"/>
      <c r="I168" s="9"/>
      <c r="J168" s="9"/>
      <c r="K168" s="11" t="s">
        <v>19</v>
      </c>
      <c r="L168" s="11" t="s">
        <v>19</v>
      </c>
      <c r="M168" s="11" t="s">
        <v>19</v>
      </c>
      <c r="N168" s="11" t="s">
        <v>19</v>
      </c>
      <c r="O168" s="11" t="s">
        <v>19</v>
      </c>
      <c r="P168" s="11" t="s">
        <v>19</v>
      </c>
      <c r="Q168" s="11" t="s">
        <v>19</v>
      </c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40"/>
      <c r="AK168" s="40"/>
      <c r="AL168" s="45"/>
      <c r="AM168" s="45"/>
      <c r="AN168" s="45"/>
      <c r="AO168" s="45"/>
      <c r="AP168" s="45"/>
    </row>
    <row r="169" spans="1:42">
      <c r="A169" s="40"/>
      <c r="B169" s="39"/>
      <c r="C169" s="43"/>
      <c r="D169" s="19" t="s">
        <v>21</v>
      </c>
      <c r="E169" s="9"/>
      <c r="F169" s="9"/>
      <c r="G169" s="9"/>
      <c r="H169" s="9"/>
      <c r="I169" s="9"/>
      <c r="J169" s="9"/>
      <c r="K169" s="9"/>
      <c r="L169" s="9">
        <v>1</v>
      </c>
      <c r="M169" s="9">
        <v>1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40"/>
      <c r="AK169" s="40"/>
      <c r="AL169" s="46"/>
      <c r="AM169" s="46"/>
      <c r="AN169" s="46"/>
      <c r="AO169" s="46"/>
      <c r="AP169" s="46"/>
    </row>
    <row r="170" spans="1:42">
      <c r="A170" s="39">
        <f t="shared" ref="A170" si="215">A167+1</f>
        <v>55</v>
      </c>
      <c r="B170" s="48" t="s">
        <v>90</v>
      </c>
      <c r="C170" s="42" t="s">
        <v>24</v>
      </c>
      <c r="D170" s="10" t="s">
        <v>18</v>
      </c>
      <c r="E170" s="10"/>
      <c r="F170" s="10"/>
      <c r="G170" s="10"/>
      <c r="H170" s="10"/>
      <c r="I170" s="10"/>
      <c r="J170" s="10"/>
      <c r="K170" s="10"/>
      <c r="L170" s="11" t="s">
        <v>19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39">
        <f t="shared" ref="AJ170" si="216">COUNTIFS(E170:AI171,"✓")/2</f>
        <v>1</v>
      </c>
      <c r="AK170" s="39">
        <f t="shared" ref="AK170" si="217">SUM(N172)</f>
        <v>0</v>
      </c>
      <c r="AL170" s="44">
        <v>230000</v>
      </c>
      <c r="AM170" s="44">
        <v>25000</v>
      </c>
      <c r="AN170" s="44">
        <f t="shared" ref="AN170" si="218">AL170*AJ170</f>
        <v>230000</v>
      </c>
      <c r="AO170" s="44">
        <f t="shared" ref="AO170" si="219">AM170*AK170</f>
        <v>0</v>
      </c>
      <c r="AP170" s="44">
        <f t="shared" ref="AP170" si="220">AL170*AJ170+AM170*AK170</f>
        <v>230000</v>
      </c>
    </row>
    <row r="171" spans="1:42">
      <c r="A171" s="40"/>
      <c r="B171" s="48"/>
      <c r="C171" s="43"/>
      <c r="D171" s="10" t="s">
        <v>20</v>
      </c>
      <c r="E171" s="10"/>
      <c r="F171" s="10"/>
      <c r="G171" s="10"/>
      <c r="H171" s="10"/>
      <c r="I171" s="10"/>
      <c r="J171" s="10"/>
      <c r="K171" s="10"/>
      <c r="L171" s="11" t="s">
        <v>19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40"/>
      <c r="AK171" s="40"/>
      <c r="AL171" s="45"/>
      <c r="AM171" s="45"/>
      <c r="AN171" s="45"/>
      <c r="AO171" s="45"/>
      <c r="AP171" s="45"/>
    </row>
    <row r="172" spans="1:42">
      <c r="A172" s="40"/>
      <c r="B172" s="49"/>
      <c r="C172" s="43"/>
      <c r="D172" s="19" t="s">
        <v>21</v>
      </c>
      <c r="E172" s="10"/>
      <c r="F172" s="10"/>
      <c r="G172" s="10"/>
      <c r="H172" s="10"/>
      <c r="I172" s="10"/>
      <c r="J172" s="10"/>
      <c r="K172" s="10"/>
      <c r="L172" s="10">
        <v>1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40"/>
      <c r="AK172" s="40"/>
      <c r="AL172" s="46"/>
      <c r="AM172" s="46"/>
      <c r="AN172" s="46"/>
      <c r="AO172" s="46"/>
      <c r="AP172" s="46"/>
    </row>
    <row r="173" spans="1:42">
      <c r="A173" s="39">
        <f t="shared" ref="A173" si="221">A170+1</f>
        <v>56</v>
      </c>
      <c r="B173" s="38" t="s">
        <v>91</v>
      </c>
      <c r="C173" s="42" t="s">
        <v>24</v>
      </c>
      <c r="D173" s="10" t="s">
        <v>18</v>
      </c>
      <c r="E173" s="10"/>
      <c r="F173" s="10"/>
      <c r="G173" s="10"/>
      <c r="H173" s="10"/>
      <c r="I173" s="10"/>
      <c r="J173" s="10"/>
      <c r="K173" s="10"/>
      <c r="L173" s="11" t="s">
        <v>19</v>
      </c>
      <c r="M173" s="11" t="s">
        <v>19</v>
      </c>
      <c r="N173" s="10"/>
      <c r="O173" s="10"/>
      <c r="P173" s="10"/>
      <c r="Q173" s="10"/>
      <c r="R173" s="10"/>
      <c r="S173" s="11" t="s">
        <v>19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39">
        <f t="shared" ref="AJ173" si="222">COUNTIFS(E173:AI174,"✓")/2</f>
        <v>3</v>
      </c>
      <c r="AK173" s="39">
        <f t="shared" ref="AK173" si="223">SUM(N175)</f>
        <v>0</v>
      </c>
      <c r="AL173" s="44">
        <v>230000</v>
      </c>
      <c r="AM173" s="44">
        <v>25000</v>
      </c>
      <c r="AN173" s="44">
        <f t="shared" ref="AN173" si="224">AL173*AJ173</f>
        <v>690000</v>
      </c>
      <c r="AO173" s="44">
        <f t="shared" ref="AO173" si="225">AM173*AK173</f>
        <v>0</v>
      </c>
      <c r="AP173" s="44">
        <f t="shared" ref="AP173" si="226">AL173*AJ173+AM173*AK173</f>
        <v>690000</v>
      </c>
    </row>
    <row r="174" spans="1:42">
      <c r="A174" s="40"/>
      <c r="B174" s="38"/>
      <c r="C174" s="43"/>
      <c r="D174" s="10" t="s">
        <v>20</v>
      </c>
      <c r="E174" s="10"/>
      <c r="F174" s="10"/>
      <c r="G174" s="10"/>
      <c r="H174" s="10"/>
      <c r="I174" s="10"/>
      <c r="J174" s="10"/>
      <c r="K174" s="10"/>
      <c r="L174" s="11" t="s">
        <v>19</v>
      </c>
      <c r="M174" s="11" t="s">
        <v>19</v>
      </c>
      <c r="N174" s="10"/>
      <c r="O174" s="10"/>
      <c r="P174" s="10"/>
      <c r="Q174" s="10"/>
      <c r="R174" s="10"/>
      <c r="S174" s="11" t="s">
        <v>19</v>
      </c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40"/>
      <c r="AK174" s="40"/>
      <c r="AL174" s="45"/>
      <c r="AM174" s="45"/>
      <c r="AN174" s="45"/>
      <c r="AO174" s="45"/>
      <c r="AP174" s="45"/>
    </row>
    <row r="175" spans="1:42">
      <c r="A175" s="40"/>
      <c r="B175" s="39"/>
      <c r="C175" s="43"/>
      <c r="D175" s="19" t="s">
        <v>21</v>
      </c>
      <c r="E175" s="10"/>
      <c r="F175" s="10"/>
      <c r="G175" s="10"/>
      <c r="H175" s="10"/>
      <c r="I175" s="10"/>
      <c r="J175" s="10"/>
      <c r="K175" s="10"/>
      <c r="L175" s="10">
        <v>1</v>
      </c>
      <c r="M175" s="10">
        <v>1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40"/>
      <c r="AK175" s="40"/>
      <c r="AL175" s="46"/>
      <c r="AM175" s="46"/>
      <c r="AN175" s="46"/>
      <c r="AO175" s="46"/>
      <c r="AP175" s="46"/>
    </row>
    <row r="176" spans="1:42">
      <c r="A176" s="39">
        <f t="shared" ref="A176" si="227">A173+1</f>
        <v>57</v>
      </c>
      <c r="B176" s="38" t="s">
        <v>76</v>
      </c>
      <c r="C176" s="42" t="s">
        <v>24</v>
      </c>
      <c r="D176" s="10" t="s">
        <v>18</v>
      </c>
      <c r="E176" s="10"/>
      <c r="F176" s="10"/>
      <c r="G176" s="10"/>
      <c r="H176" s="10"/>
      <c r="I176" s="10"/>
      <c r="J176" s="10"/>
      <c r="K176" s="10"/>
      <c r="L176" s="11" t="s">
        <v>19</v>
      </c>
      <c r="M176" s="11" t="s">
        <v>19</v>
      </c>
      <c r="N176" s="11" t="s">
        <v>19</v>
      </c>
      <c r="O176" s="10"/>
      <c r="P176" s="10"/>
      <c r="Q176" s="11" t="s">
        <v>19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39">
        <f t="shared" ref="AJ176" si="228">COUNTIFS(E176:AI177,"✓")/2</f>
        <v>4</v>
      </c>
      <c r="AK176" s="39">
        <f t="shared" ref="AK176" si="229">SUM(N178)</f>
        <v>0</v>
      </c>
      <c r="AL176" s="44">
        <v>230000</v>
      </c>
      <c r="AM176" s="44">
        <v>25000</v>
      </c>
      <c r="AN176" s="44">
        <f t="shared" ref="AN176" si="230">AL176*AJ176</f>
        <v>920000</v>
      </c>
      <c r="AO176" s="44">
        <f t="shared" ref="AO176" si="231">AM176*AK176</f>
        <v>0</v>
      </c>
      <c r="AP176" s="44">
        <f t="shared" ref="AP176" si="232">AL176*AJ176+AM176*AK176</f>
        <v>920000</v>
      </c>
    </row>
    <row r="177" spans="1:42">
      <c r="A177" s="40"/>
      <c r="B177" s="38"/>
      <c r="C177" s="43"/>
      <c r="D177" s="10" t="s">
        <v>20</v>
      </c>
      <c r="E177" s="10"/>
      <c r="F177" s="10"/>
      <c r="G177" s="10"/>
      <c r="H177" s="10"/>
      <c r="I177" s="10"/>
      <c r="J177" s="10"/>
      <c r="K177" s="10"/>
      <c r="L177" s="11" t="s">
        <v>19</v>
      </c>
      <c r="M177" s="11" t="s">
        <v>19</v>
      </c>
      <c r="N177" s="11" t="s">
        <v>19</v>
      </c>
      <c r="O177" s="10"/>
      <c r="P177" s="10"/>
      <c r="Q177" s="11" t="s">
        <v>19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40"/>
      <c r="AK177" s="40"/>
      <c r="AL177" s="45"/>
      <c r="AM177" s="45"/>
      <c r="AN177" s="45"/>
      <c r="AO177" s="45"/>
      <c r="AP177" s="45"/>
    </row>
    <row r="178" spans="1:42">
      <c r="A178" s="40"/>
      <c r="B178" s="39"/>
      <c r="C178" s="43"/>
      <c r="D178" s="19" t="s">
        <v>21</v>
      </c>
      <c r="E178" s="10"/>
      <c r="F178" s="10"/>
      <c r="G178" s="10"/>
      <c r="H178" s="10"/>
      <c r="I178" s="10"/>
      <c r="J178" s="10"/>
      <c r="K178" s="10"/>
      <c r="L178" s="10">
        <v>1</v>
      </c>
      <c r="M178" s="10">
        <v>1</v>
      </c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40"/>
      <c r="AK178" s="40"/>
      <c r="AL178" s="46"/>
      <c r="AM178" s="46"/>
      <c r="AN178" s="46"/>
      <c r="AO178" s="46"/>
      <c r="AP178" s="46"/>
    </row>
    <row r="179" spans="1:42">
      <c r="A179" s="39">
        <f t="shared" ref="A179" si="233">A176+1</f>
        <v>58</v>
      </c>
      <c r="B179" s="38" t="s">
        <v>92</v>
      </c>
      <c r="C179" s="42" t="s">
        <v>24</v>
      </c>
      <c r="D179" s="10" t="s">
        <v>18</v>
      </c>
      <c r="E179" s="10"/>
      <c r="F179" s="10"/>
      <c r="G179" s="10"/>
      <c r="H179" s="10"/>
      <c r="I179" s="10"/>
      <c r="J179" s="10"/>
      <c r="K179" s="10"/>
      <c r="L179" s="11" t="s">
        <v>19</v>
      </c>
      <c r="M179" s="11" t="s">
        <v>19</v>
      </c>
      <c r="N179" s="11" t="s">
        <v>19</v>
      </c>
      <c r="O179" s="10"/>
      <c r="P179" s="11" t="s">
        <v>19</v>
      </c>
      <c r="Q179" s="11" t="s">
        <v>19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39">
        <f t="shared" ref="AJ179" si="234">COUNTIFS(E179:AI180,"✓")/2</f>
        <v>5</v>
      </c>
      <c r="AK179" s="39">
        <f t="shared" ref="AK179" si="235">SUM(N181)</f>
        <v>0</v>
      </c>
      <c r="AL179" s="44">
        <v>230000</v>
      </c>
      <c r="AM179" s="44">
        <v>25000</v>
      </c>
      <c r="AN179" s="44">
        <f t="shared" ref="AN179" si="236">AL179*AJ179</f>
        <v>1150000</v>
      </c>
      <c r="AO179" s="44">
        <f t="shared" ref="AO179" si="237">AM179*AK179</f>
        <v>0</v>
      </c>
      <c r="AP179" s="44">
        <f t="shared" ref="AP179" si="238">AL179*AJ179+AM179*AK179</f>
        <v>1150000</v>
      </c>
    </row>
    <row r="180" spans="1:42">
      <c r="A180" s="40"/>
      <c r="B180" s="38"/>
      <c r="C180" s="43"/>
      <c r="D180" s="10" t="s">
        <v>20</v>
      </c>
      <c r="E180" s="10"/>
      <c r="F180" s="10"/>
      <c r="G180" s="10"/>
      <c r="H180" s="10"/>
      <c r="I180" s="10"/>
      <c r="J180" s="10"/>
      <c r="K180" s="10"/>
      <c r="L180" s="11" t="s">
        <v>19</v>
      </c>
      <c r="M180" s="11" t="s">
        <v>19</v>
      </c>
      <c r="N180" s="11" t="s">
        <v>19</v>
      </c>
      <c r="O180" s="10"/>
      <c r="P180" s="11" t="s">
        <v>19</v>
      </c>
      <c r="Q180" s="11" t="s">
        <v>19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40"/>
      <c r="AK180" s="40"/>
      <c r="AL180" s="45"/>
      <c r="AM180" s="45"/>
      <c r="AN180" s="45"/>
      <c r="AO180" s="45"/>
      <c r="AP180" s="45"/>
    </row>
    <row r="181" spans="1:42">
      <c r="A181" s="40"/>
      <c r="B181" s="39"/>
      <c r="C181" s="43"/>
      <c r="D181" s="19" t="s">
        <v>21</v>
      </c>
      <c r="E181" s="10"/>
      <c r="F181" s="10"/>
      <c r="G181" s="10"/>
      <c r="H181" s="10"/>
      <c r="I181" s="10"/>
      <c r="J181" s="10"/>
      <c r="K181" s="10"/>
      <c r="L181" s="10">
        <v>1</v>
      </c>
      <c r="M181" s="10">
        <v>1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40"/>
      <c r="AK181" s="40"/>
      <c r="AL181" s="46"/>
      <c r="AM181" s="46"/>
      <c r="AN181" s="46"/>
      <c r="AO181" s="46"/>
      <c r="AP181" s="46"/>
    </row>
    <row r="182" spans="1:42">
      <c r="A182" s="39">
        <f t="shared" ref="A182" si="239">A179+1</f>
        <v>59</v>
      </c>
      <c r="B182" s="38" t="s">
        <v>93</v>
      </c>
      <c r="C182" s="42" t="s">
        <v>24</v>
      </c>
      <c r="D182" s="10" t="s">
        <v>18</v>
      </c>
      <c r="E182" s="10"/>
      <c r="F182" s="10"/>
      <c r="G182" s="10"/>
      <c r="H182" s="10"/>
      <c r="I182" s="10"/>
      <c r="J182" s="10"/>
      <c r="K182" s="10"/>
      <c r="L182" s="11" t="s">
        <v>19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39">
        <f t="shared" ref="AJ182" si="240">COUNTIFS(E182:AI183,"✓")/2</f>
        <v>1</v>
      </c>
      <c r="AK182" s="39">
        <f t="shared" ref="AK182" si="241">SUM(N184)</f>
        <v>0</v>
      </c>
      <c r="AL182" s="44">
        <v>230000</v>
      </c>
      <c r="AM182" s="44">
        <v>25000</v>
      </c>
      <c r="AN182" s="44">
        <f t="shared" ref="AN182" si="242">AL182*AJ182</f>
        <v>230000</v>
      </c>
      <c r="AO182" s="44">
        <f t="shared" ref="AO182" si="243">AM182*AK182</f>
        <v>0</v>
      </c>
      <c r="AP182" s="44">
        <f t="shared" ref="AP182" si="244">AL182*AJ182+AM182*AK182</f>
        <v>230000</v>
      </c>
    </row>
    <row r="183" spans="1:42">
      <c r="A183" s="40"/>
      <c r="B183" s="38"/>
      <c r="C183" s="43"/>
      <c r="D183" s="10" t="s">
        <v>20</v>
      </c>
      <c r="E183" s="10"/>
      <c r="F183" s="10"/>
      <c r="G183" s="10"/>
      <c r="H183" s="10"/>
      <c r="I183" s="10"/>
      <c r="J183" s="10"/>
      <c r="K183" s="10"/>
      <c r="L183" s="11" t="s">
        <v>19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40"/>
      <c r="AK183" s="40"/>
      <c r="AL183" s="45"/>
      <c r="AM183" s="45"/>
      <c r="AN183" s="45"/>
      <c r="AO183" s="45"/>
      <c r="AP183" s="45"/>
    </row>
    <row r="184" spans="1:42">
      <c r="A184" s="40"/>
      <c r="B184" s="39"/>
      <c r="C184" s="43"/>
      <c r="D184" s="19" t="s">
        <v>21</v>
      </c>
      <c r="E184" s="10"/>
      <c r="F184" s="10"/>
      <c r="G184" s="10"/>
      <c r="H184" s="10"/>
      <c r="I184" s="10"/>
      <c r="J184" s="10"/>
      <c r="K184" s="10"/>
      <c r="L184" s="10">
        <v>1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40"/>
      <c r="AK184" s="40"/>
      <c r="AL184" s="46"/>
      <c r="AM184" s="46"/>
      <c r="AN184" s="46"/>
      <c r="AO184" s="46"/>
      <c r="AP184" s="46"/>
    </row>
    <row r="185" spans="1:42">
      <c r="A185" s="39">
        <f t="shared" ref="A185" si="245">A182+1</f>
        <v>60</v>
      </c>
      <c r="B185" s="38" t="s">
        <v>94</v>
      </c>
      <c r="C185" s="42" t="s">
        <v>24</v>
      </c>
      <c r="D185" s="10" t="s">
        <v>18</v>
      </c>
      <c r="E185" s="10"/>
      <c r="F185" s="10"/>
      <c r="G185" s="10"/>
      <c r="H185" s="10"/>
      <c r="I185" s="10"/>
      <c r="J185" s="10"/>
      <c r="K185" s="10"/>
      <c r="L185" s="11" t="s">
        <v>19</v>
      </c>
      <c r="M185" s="11" t="s">
        <v>19</v>
      </c>
      <c r="N185" s="11" t="s">
        <v>19</v>
      </c>
      <c r="O185" s="10"/>
      <c r="P185" s="10"/>
      <c r="Q185" s="10"/>
      <c r="R185" s="10"/>
      <c r="S185" s="10"/>
      <c r="T185" s="10"/>
      <c r="U185" s="11" t="s">
        <v>19</v>
      </c>
      <c r="V185" s="10"/>
      <c r="W185" s="10"/>
      <c r="X185" s="97" t="s">
        <v>19</v>
      </c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39">
        <f t="shared" ref="AJ185" si="246">COUNTIFS(E185:AI186,"✓")/2</f>
        <v>5</v>
      </c>
      <c r="AK185" s="39">
        <f t="shared" ref="AK185" si="247">SUM(N187)</f>
        <v>0</v>
      </c>
      <c r="AL185" s="44">
        <v>230000</v>
      </c>
      <c r="AM185" s="44">
        <v>25000</v>
      </c>
      <c r="AN185" s="44">
        <f t="shared" ref="AN185" si="248">AL185*AJ185</f>
        <v>1150000</v>
      </c>
      <c r="AO185" s="44">
        <f t="shared" ref="AO185" si="249">AM185*AK185</f>
        <v>0</v>
      </c>
      <c r="AP185" s="44">
        <f t="shared" ref="AP185" si="250">AL185*AJ185+AM185*AK185</f>
        <v>1150000</v>
      </c>
    </row>
    <row r="186" spans="1:42">
      <c r="A186" s="40"/>
      <c r="B186" s="38"/>
      <c r="C186" s="43"/>
      <c r="D186" s="10" t="s">
        <v>20</v>
      </c>
      <c r="E186" s="10"/>
      <c r="F186" s="10"/>
      <c r="G186" s="10"/>
      <c r="H186" s="10"/>
      <c r="I186" s="10"/>
      <c r="J186" s="10"/>
      <c r="K186" s="10"/>
      <c r="L186" s="11" t="s">
        <v>19</v>
      </c>
      <c r="M186" s="11" t="s">
        <v>19</v>
      </c>
      <c r="N186" s="11" t="s">
        <v>19</v>
      </c>
      <c r="O186" s="10"/>
      <c r="P186" s="10"/>
      <c r="Q186" s="10"/>
      <c r="R186" s="10"/>
      <c r="S186" s="10"/>
      <c r="T186" s="10"/>
      <c r="U186" s="11" t="s">
        <v>19</v>
      </c>
      <c r="V186" s="10"/>
      <c r="W186" s="10"/>
      <c r="X186" s="97" t="s">
        <v>19</v>
      </c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40"/>
      <c r="AK186" s="40"/>
      <c r="AL186" s="45"/>
      <c r="AM186" s="45"/>
      <c r="AN186" s="45"/>
      <c r="AO186" s="45"/>
      <c r="AP186" s="45"/>
    </row>
    <row r="187" spans="1:42">
      <c r="A187" s="40"/>
      <c r="B187" s="39"/>
      <c r="C187" s="43"/>
      <c r="D187" s="19" t="s">
        <v>21</v>
      </c>
      <c r="E187" s="10"/>
      <c r="F187" s="10"/>
      <c r="G187" s="10"/>
      <c r="H187" s="10"/>
      <c r="I187" s="10"/>
      <c r="J187" s="10"/>
      <c r="K187" s="10"/>
      <c r="L187" s="10">
        <v>1</v>
      </c>
      <c r="M187" s="10">
        <v>1</v>
      </c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40"/>
      <c r="AK187" s="40"/>
      <c r="AL187" s="46"/>
      <c r="AM187" s="46"/>
      <c r="AN187" s="46"/>
      <c r="AO187" s="46"/>
      <c r="AP187" s="46"/>
    </row>
    <row r="188" spans="1:42">
      <c r="A188" s="39">
        <f t="shared" ref="A188" si="251">A185+1</f>
        <v>61</v>
      </c>
      <c r="B188" s="38" t="s">
        <v>95</v>
      </c>
      <c r="C188" s="42" t="s">
        <v>24</v>
      </c>
      <c r="D188" s="10" t="s">
        <v>18</v>
      </c>
      <c r="E188" s="10"/>
      <c r="F188" s="10"/>
      <c r="G188" s="10"/>
      <c r="H188" s="10"/>
      <c r="I188" s="10"/>
      <c r="J188" s="10"/>
      <c r="K188" s="10"/>
      <c r="L188" s="10"/>
      <c r="M188" s="11" t="s">
        <v>19</v>
      </c>
      <c r="N188" s="11" t="s">
        <v>19</v>
      </c>
      <c r="O188" s="11" t="s">
        <v>19</v>
      </c>
      <c r="P188" s="10"/>
      <c r="Q188" s="11" t="s">
        <v>19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39">
        <f t="shared" ref="AJ188" si="252">COUNTIFS(E188:AI189,"✓")/2</f>
        <v>4</v>
      </c>
      <c r="AK188" s="39">
        <f t="shared" ref="AK188" si="253">SUM(N190)</f>
        <v>0</v>
      </c>
      <c r="AL188" s="44">
        <v>230000</v>
      </c>
      <c r="AM188" s="44">
        <v>25000</v>
      </c>
      <c r="AN188" s="44">
        <f t="shared" ref="AN188" si="254">AL188*AJ188</f>
        <v>920000</v>
      </c>
      <c r="AO188" s="44">
        <f t="shared" ref="AO188" si="255">AM188*AK188</f>
        <v>0</v>
      </c>
      <c r="AP188" s="44">
        <f t="shared" ref="AP188" si="256">AL188*AJ188+AM188*AK188</f>
        <v>920000</v>
      </c>
    </row>
    <row r="189" spans="1:42">
      <c r="A189" s="40"/>
      <c r="B189" s="38"/>
      <c r="C189" s="43"/>
      <c r="D189" s="10" t="s">
        <v>20</v>
      </c>
      <c r="E189" s="10"/>
      <c r="F189" s="10"/>
      <c r="G189" s="10"/>
      <c r="H189" s="10"/>
      <c r="I189" s="10"/>
      <c r="J189" s="10"/>
      <c r="K189" s="10"/>
      <c r="L189" s="10"/>
      <c r="M189" s="11" t="s">
        <v>19</v>
      </c>
      <c r="N189" s="11" t="s">
        <v>19</v>
      </c>
      <c r="O189" s="11" t="s">
        <v>19</v>
      </c>
      <c r="P189" s="10"/>
      <c r="Q189" s="11" t="s">
        <v>19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40"/>
      <c r="AK189" s="40"/>
      <c r="AL189" s="45"/>
      <c r="AM189" s="45"/>
      <c r="AN189" s="45"/>
      <c r="AO189" s="45"/>
      <c r="AP189" s="45"/>
    </row>
    <row r="190" spans="1:42">
      <c r="A190" s="40"/>
      <c r="B190" s="39"/>
      <c r="C190" s="43"/>
      <c r="D190" s="19" t="s">
        <v>21</v>
      </c>
      <c r="E190" s="10"/>
      <c r="F190" s="10"/>
      <c r="G190" s="10"/>
      <c r="H190" s="10"/>
      <c r="I190" s="10"/>
      <c r="J190" s="10"/>
      <c r="K190" s="10"/>
      <c r="L190" s="10"/>
      <c r="M190" s="10">
        <v>1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40"/>
      <c r="AK190" s="40"/>
      <c r="AL190" s="46"/>
      <c r="AM190" s="46"/>
      <c r="AN190" s="46"/>
      <c r="AO190" s="46"/>
      <c r="AP190" s="46"/>
    </row>
    <row r="191" spans="1:42">
      <c r="A191" s="39">
        <f t="shared" ref="A191" si="257">A188+1</f>
        <v>62</v>
      </c>
      <c r="B191" s="38" t="s">
        <v>96</v>
      </c>
      <c r="C191" s="42" t="s">
        <v>24</v>
      </c>
      <c r="D191" s="10" t="s">
        <v>18</v>
      </c>
      <c r="E191" s="10"/>
      <c r="F191" s="10"/>
      <c r="G191" s="10"/>
      <c r="H191" s="10"/>
      <c r="I191" s="10"/>
      <c r="J191" s="10"/>
      <c r="K191" s="10"/>
      <c r="L191" s="10"/>
      <c r="M191" s="11" t="s">
        <v>19</v>
      </c>
      <c r="N191" s="10"/>
      <c r="O191" s="11" t="s">
        <v>19</v>
      </c>
      <c r="P191" s="11" t="s">
        <v>19</v>
      </c>
      <c r="Q191" s="11" t="s">
        <v>19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39">
        <f t="shared" ref="AJ191" si="258">COUNTIFS(E191:AI192,"✓")/2</f>
        <v>3.5</v>
      </c>
      <c r="AK191" s="39">
        <f t="shared" ref="AK191" si="259">SUM(N193)</f>
        <v>0</v>
      </c>
      <c r="AL191" s="44">
        <v>230000</v>
      </c>
      <c r="AM191" s="44">
        <v>25000</v>
      </c>
      <c r="AN191" s="44">
        <f t="shared" ref="AN191" si="260">AL191*AJ191</f>
        <v>805000</v>
      </c>
      <c r="AO191" s="44">
        <f t="shared" ref="AO191" si="261">AM191*AK191</f>
        <v>0</v>
      </c>
      <c r="AP191" s="44">
        <f t="shared" ref="AP191" si="262">AL191*AJ191+AM191*AK191</f>
        <v>805000</v>
      </c>
    </row>
    <row r="192" spans="1:42">
      <c r="A192" s="40"/>
      <c r="B192" s="38"/>
      <c r="C192" s="43"/>
      <c r="D192" s="10" t="s">
        <v>20</v>
      </c>
      <c r="E192" s="10"/>
      <c r="F192" s="10"/>
      <c r="G192" s="10"/>
      <c r="H192" s="10"/>
      <c r="I192" s="10"/>
      <c r="J192" s="10"/>
      <c r="K192" s="10"/>
      <c r="L192" s="10"/>
      <c r="M192" s="11"/>
      <c r="N192" s="10"/>
      <c r="O192" s="11" t="s">
        <v>19</v>
      </c>
      <c r="P192" s="11" t="s">
        <v>19</v>
      </c>
      <c r="Q192" s="11" t="s">
        <v>19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40"/>
      <c r="AK192" s="40"/>
      <c r="AL192" s="45"/>
      <c r="AM192" s="45"/>
      <c r="AN192" s="45"/>
      <c r="AO192" s="45"/>
      <c r="AP192" s="45"/>
    </row>
    <row r="193" spans="1:42">
      <c r="A193" s="40"/>
      <c r="B193" s="39"/>
      <c r="C193" s="43"/>
      <c r="D193" s="19" t="s">
        <v>21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40"/>
      <c r="AK193" s="40"/>
      <c r="AL193" s="46"/>
      <c r="AM193" s="46"/>
      <c r="AN193" s="46"/>
      <c r="AO193" s="46"/>
      <c r="AP193" s="46"/>
    </row>
    <row r="194" spans="1:42">
      <c r="A194" s="39">
        <f t="shared" ref="A194" si="263">A191+1</f>
        <v>63</v>
      </c>
      <c r="B194" s="38" t="s">
        <v>108</v>
      </c>
      <c r="C194" s="42" t="s">
        <v>24</v>
      </c>
      <c r="D194" s="10" t="s">
        <v>18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 t="s">
        <v>19</v>
      </c>
      <c r="P194" s="11" t="s">
        <v>19</v>
      </c>
      <c r="Q194" s="10"/>
      <c r="R194" s="11" t="s">
        <v>19</v>
      </c>
      <c r="S194" s="10"/>
      <c r="T194" s="11" t="s">
        <v>19</v>
      </c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39">
        <f t="shared" ref="AJ194" si="264">COUNTIFS(E194:AI195,"✓")/2</f>
        <v>4</v>
      </c>
      <c r="AK194" s="39">
        <f t="shared" ref="AK194" si="265">SUM(N196)</f>
        <v>0</v>
      </c>
      <c r="AL194" s="44">
        <v>230000</v>
      </c>
      <c r="AM194" s="44">
        <v>25000</v>
      </c>
      <c r="AN194" s="44">
        <f t="shared" ref="AN194" si="266">AL194*AJ194</f>
        <v>920000</v>
      </c>
      <c r="AO194" s="44">
        <f t="shared" ref="AO194" si="267">AM194*AK194</f>
        <v>0</v>
      </c>
      <c r="AP194" s="44">
        <f t="shared" ref="AP194" si="268">AL194*AJ194+AM194*AK194</f>
        <v>920000</v>
      </c>
    </row>
    <row r="195" spans="1:42">
      <c r="A195" s="40"/>
      <c r="B195" s="38"/>
      <c r="C195" s="43"/>
      <c r="D195" s="10" t="s">
        <v>20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 t="s">
        <v>19</v>
      </c>
      <c r="P195" s="11" t="s">
        <v>19</v>
      </c>
      <c r="Q195" s="10"/>
      <c r="R195" s="11" t="s">
        <v>19</v>
      </c>
      <c r="S195" s="10"/>
      <c r="T195" s="11" t="s">
        <v>19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40"/>
      <c r="AK195" s="40"/>
      <c r="AL195" s="45"/>
      <c r="AM195" s="45"/>
      <c r="AN195" s="45"/>
      <c r="AO195" s="45"/>
      <c r="AP195" s="45"/>
    </row>
    <row r="196" spans="1:42">
      <c r="A196" s="40"/>
      <c r="B196" s="39"/>
      <c r="C196" s="43"/>
      <c r="D196" s="19" t="s">
        <v>21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40"/>
      <c r="AK196" s="40"/>
      <c r="AL196" s="46"/>
      <c r="AM196" s="46"/>
      <c r="AN196" s="46"/>
      <c r="AO196" s="46"/>
      <c r="AP196" s="46"/>
    </row>
    <row r="197" spans="1:42">
      <c r="A197" s="39">
        <f t="shared" ref="A197" si="269">A194+1</f>
        <v>64</v>
      </c>
      <c r="B197" s="38" t="s">
        <v>109</v>
      </c>
      <c r="C197" s="42" t="s">
        <v>24</v>
      </c>
      <c r="D197" s="10" t="s">
        <v>18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 t="s">
        <v>19</v>
      </c>
      <c r="P197" s="11" t="s">
        <v>19</v>
      </c>
      <c r="Q197" s="11" t="s">
        <v>19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39">
        <f t="shared" ref="AJ197" si="270">COUNTIFS(E197:AI198,"✓")/2</f>
        <v>3</v>
      </c>
      <c r="AK197" s="39">
        <f t="shared" ref="AK197" si="271">SUM(N199)</f>
        <v>0</v>
      </c>
      <c r="AL197" s="44">
        <v>230000</v>
      </c>
      <c r="AM197" s="44">
        <v>25000</v>
      </c>
      <c r="AN197" s="44">
        <f t="shared" ref="AN197" si="272">AL197*AJ197</f>
        <v>690000</v>
      </c>
      <c r="AO197" s="44">
        <f t="shared" ref="AO197" si="273">AM197*AK197</f>
        <v>0</v>
      </c>
      <c r="AP197" s="44">
        <f t="shared" ref="AP197" si="274">AL197*AJ197+AM197*AK197</f>
        <v>690000</v>
      </c>
    </row>
    <row r="198" spans="1:42">
      <c r="A198" s="40"/>
      <c r="B198" s="38"/>
      <c r="C198" s="43"/>
      <c r="D198" s="10" t="s">
        <v>20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 t="s">
        <v>19</v>
      </c>
      <c r="P198" s="11" t="s">
        <v>19</v>
      </c>
      <c r="Q198" s="11" t="s">
        <v>19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40"/>
      <c r="AK198" s="40"/>
      <c r="AL198" s="45"/>
      <c r="AM198" s="45"/>
      <c r="AN198" s="45"/>
      <c r="AO198" s="45"/>
      <c r="AP198" s="45"/>
    </row>
    <row r="199" spans="1:42">
      <c r="A199" s="40"/>
      <c r="B199" s="39"/>
      <c r="C199" s="43"/>
      <c r="D199" s="19" t="s">
        <v>21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40"/>
      <c r="AK199" s="40"/>
      <c r="AL199" s="46"/>
      <c r="AM199" s="46"/>
      <c r="AN199" s="46"/>
      <c r="AO199" s="46"/>
      <c r="AP199" s="46"/>
    </row>
    <row r="200" spans="1:42">
      <c r="A200" s="39">
        <f t="shared" ref="A200" si="275">A197+1</f>
        <v>65</v>
      </c>
      <c r="B200" s="38" t="s">
        <v>105</v>
      </c>
      <c r="C200" s="42" t="s">
        <v>24</v>
      </c>
      <c r="D200" s="10" t="s">
        <v>18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 t="s">
        <v>19</v>
      </c>
      <c r="P200" s="11" t="s">
        <v>19</v>
      </c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39">
        <f t="shared" ref="AJ200" si="276">COUNTIFS(E200:AI201,"✓")/2</f>
        <v>2</v>
      </c>
      <c r="AK200" s="39">
        <f t="shared" ref="AK200" si="277">SUM(N202)</f>
        <v>0</v>
      </c>
      <c r="AL200" s="44">
        <v>230000</v>
      </c>
      <c r="AM200" s="44">
        <v>25000</v>
      </c>
      <c r="AN200" s="44">
        <f t="shared" ref="AN200" si="278">AL200*AJ200</f>
        <v>460000</v>
      </c>
      <c r="AO200" s="44">
        <f t="shared" ref="AO200" si="279">AM200*AK200</f>
        <v>0</v>
      </c>
      <c r="AP200" s="44">
        <f t="shared" ref="AP200" si="280">AL200*AJ200+AM200*AK200</f>
        <v>460000</v>
      </c>
    </row>
    <row r="201" spans="1:42">
      <c r="A201" s="40"/>
      <c r="B201" s="38"/>
      <c r="C201" s="43"/>
      <c r="D201" s="10" t="s">
        <v>20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 t="s">
        <v>19</v>
      </c>
      <c r="P201" s="11" t="s">
        <v>19</v>
      </c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40"/>
      <c r="AK201" s="40"/>
      <c r="AL201" s="45"/>
      <c r="AM201" s="45"/>
      <c r="AN201" s="45"/>
      <c r="AO201" s="45"/>
      <c r="AP201" s="45"/>
    </row>
    <row r="202" spans="1:42">
      <c r="A202" s="40"/>
      <c r="B202" s="39"/>
      <c r="C202" s="43"/>
      <c r="D202" s="19" t="s">
        <v>21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40"/>
      <c r="AK202" s="40"/>
      <c r="AL202" s="46"/>
      <c r="AM202" s="46"/>
      <c r="AN202" s="46"/>
      <c r="AO202" s="46"/>
      <c r="AP202" s="46"/>
    </row>
    <row r="203" spans="1:42">
      <c r="A203" s="39">
        <f t="shared" ref="A203" si="281">A200+1</f>
        <v>66</v>
      </c>
      <c r="B203" s="38" t="s">
        <v>111</v>
      </c>
      <c r="C203" s="42" t="s">
        <v>24</v>
      </c>
      <c r="D203" s="10" t="s">
        <v>18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1" t="s">
        <v>19</v>
      </c>
      <c r="Q203" s="11" t="s">
        <v>19</v>
      </c>
      <c r="R203" s="11" t="s">
        <v>19</v>
      </c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39">
        <f t="shared" ref="AJ203" si="282">COUNTIFS(E203:AI204,"✓")/2</f>
        <v>3</v>
      </c>
      <c r="AK203" s="39">
        <f t="shared" ref="AK203" si="283">SUM(N205)</f>
        <v>0</v>
      </c>
      <c r="AL203" s="44">
        <v>230000</v>
      </c>
      <c r="AM203" s="44">
        <v>25000</v>
      </c>
      <c r="AN203" s="44">
        <f t="shared" ref="AN203" si="284">AL203*AJ203</f>
        <v>690000</v>
      </c>
      <c r="AO203" s="44">
        <f t="shared" ref="AO203" si="285">AM203*AK203</f>
        <v>0</v>
      </c>
      <c r="AP203" s="44">
        <f t="shared" ref="AP203" si="286">AL203*AJ203+AM203*AK203</f>
        <v>690000</v>
      </c>
    </row>
    <row r="204" spans="1:42">
      <c r="A204" s="40"/>
      <c r="B204" s="38"/>
      <c r="C204" s="43"/>
      <c r="D204" s="10" t="s">
        <v>20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1" t="s">
        <v>19</v>
      </c>
      <c r="Q204" s="11" t="s">
        <v>19</v>
      </c>
      <c r="R204" s="11" t="s">
        <v>19</v>
      </c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40"/>
      <c r="AK204" s="40"/>
      <c r="AL204" s="45"/>
      <c r="AM204" s="45"/>
      <c r="AN204" s="45"/>
      <c r="AO204" s="45"/>
      <c r="AP204" s="45"/>
    </row>
    <row r="205" spans="1:42">
      <c r="A205" s="40"/>
      <c r="B205" s="39"/>
      <c r="C205" s="43"/>
      <c r="D205" s="19" t="s">
        <v>21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40"/>
      <c r="AK205" s="40"/>
      <c r="AL205" s="46"/>
      <c r="AM205" s="46"/>
      <c r="AN205" s="46"/>
      <c r="AO205" s="46"/>
      <c r="AP205" s="46"/>
    </row>
    <row r="206" spans="1:42">
      <c r="A206" s="39">
        <f t="shared" ref="A206" si="287">A203+1</f>
        <v>67</v>
      </c>
      <c r="B206" s="38" t="s">
        <v>112</v>
      </c>
      <c r="C206" s="42" t="s">
        <v>24</v>
      </c>
      <c r="D206" s="10" t="s">
        <v>18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1" t="s">
        <v>19</v>
      </c>
      <c r="Q206" s="11" t="s">
        <v>19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39">
        <f t="shared" ref="AJ206" si="288">COUNTIFS(E206:AI207,"✓")/2</f>
        <v>2</v>
      </c>
      <c r="AK206" s="39">
        <f t="shared" ref="AK206" si="289">SUM(N208)</f>
        <v>0</v>
      </c>
      <c r="AL206" s="44">
        <v>230000</v>
      </c>
      <c r="AM206" s="44">
        <v>25000</v>
      </c>
      <c r="AN206" s="44">
        <f t="shared" ref="AN206" si="290">AL206*AJ206</f>
        <v>460000</v>
      </c>
      <c r="AO206" s="44">
        <f t="shared" ref="AO206" si="291">AM206*AK206</f>
        <v>0</v>
      </c>
      <c r="AP206" s="44">
        <f t="shared" ref="AP206" si="292">AL206*AJ206+AM206*AK206</f>
        <v>460000</v>
      </c>
    </row>
    <row r="207" spans="1:42">
      <c r="A207" s="40"/>
      <c r="B207" s="38"/>
      <c r="C207" s="43"/>
      <c r="D207" s="10" t="s">
        <v>20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1" t="s">
        <v>19</v>
      </c>
      <c r="Q207" s="11" t="s">
        <v>19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40"/>
      <c r="AK207" s="40"/>
      <c r="AL207" s="45"/>
      <c r="AM207" s="45"/>
      <c r="AN207" s="45"/>
      <c r="AO207" s="45"/>
      <c r="AP207" s="45"/>
    </row>
    <row r="208" spans="1:42">
      <c r="A208" s="40"/>
      <c r="B208" s="39"/>
      <c r="C208" s="43"/>
      <c r="D208" s="19" t="s">
        <v>21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40"/>
      <c r="AK208" s="40"/>
      <c r="AL208" s="46"/>
      <c r="AM208" s="46"/>
      <c r="AN208" s="46"/>
      <c r="AO208" s="46"/>
      <c r="AP208" s="46"/>
    </row>
    <row r="209" spans="1:42">
      <c r="A209" s="39">
        <f t="shared" ref="A209" si="293">A206+1</f>
        <v>68</v>
      </c>
      <c r="B209" s="38" t="s">
        <v>113</v>
      </c>
      <c r="C209" s="42" t="s">
        <v>24</v>
      </c>
      <c r="D209" s="10" t="s">
        <v>18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1" t="s">
        <v>19</v>
      </c>
      <c r="R209" s="10"/>
      <c r="S209" s="11" t="s">
        <v>19</v>
      </c>
      <c r="T209" s="11" t="s">
        <v>19</v>
      </c>
      <c r="U209" s="11" t="s">
        <v>19</v>
      </c>
      <c r="V209" s="10"/>
      <c r="W209" s="11" t="s">
        <v>19</v>
      </c>
      <c r="X209" s="97" t="s">
        <v>19</v>
      </c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39">
        <f t="shared" ref="AJ209" si="294">COUNTIFS(E209:AI210,"✓")/2</f>
        <v>6</v>
      </c>
      <c r="AK209" s="39">
        <f t="shared" ref="AK209" si="295">SUM(N211)</f>
        <v>0</v>
      </c>
      <c r="AL209" s="44">
        <v>230000</v>
      </c>
      <c r="AM209" s="44">
        <v>25000</v>
      </c>
      <c r="AN209" s="44">
        <f t="shared" ref="AN209" si="296">AL209*AJ209</f>
        <v>1380000</v>
      </c>
      <c r="AO209" s="44">
        <f t="shared" ref="AO209" si="297">AM209*AK209</f>
        <v>0</v>
      </c>
      <c r="AP209" s="44">
        <f t="shared" ref="AP209" si="298">AL209*AJ209+AM209*AK209</f>
        <v>1380000</v>
      </c>
    </row>
    <row r="210" spans="1:42">
      <c r="A210" s="40"/>
      <c r="B210" s="38"/>
      <c r="C210" s="43"/>
      <c r="D210" s="10" t="s">
        <v>20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1" t="s">
        <v>19</v>
      </c>
      <c r="R210" s="10"/>
      <c r="S210" s="11" t="s">
        <v>19</v>
      </c>
      <c r="T210" s="11" t="s">
        <v>19</v>
      </c>
      <c r="U210" s="11" t="s">
        <v>19</v>
      </c>
      <c r="V210" s="10"/>
      <c r="W210" s="11" t="s">
        <v>19</v>
      </c>
      <c r="X210" s="97" t="s">
        <v>19</v>
      </c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40"/>
      <c r="AK210" s="40"/>
      <c r="AL210" s="45"/>
      <c r="AM210" s="45"/>
      <c r="AN210" s="45"/>
      <c r="AO210" s="45"/>
      <c r="AP210" s="45"/>
    </row>
    <row r="211" spans="1:42">
      <c r="A211" s="40"/>
      <c r="B211" s="39"/>
      <c r="C211" s="43"/>
      <c r="D211" s="19" t="s">
        <v>21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40"/>
      <c r="AK211" s="40"/>
      <c r="AL211" s="46"/>
      <c r="AM211" s="46"/>
      <c r="AN211" s="46"/>
      <c r="AO211" s="46"/>
      <c r="AP211" s="46"/>
    </row>
    <row r="212" spans="1:42">
      <c r="A212" s="39">
        <f t="shared" ref="A212" si="299">A209+1</f>
        <v>69</v>
      </c>
      <c r="B212" s="38" t="s">
        <v>114</v>
      </c>
      <c r="C212" s="42" t="s">
        <v>142</v>
      </c>
      <c r="D212" s="10" t="s">
        <v>18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1" t="s">
        <v>19</v>
      </c>
      <c r="R212" s="11" t="s">
        <v>19</v>
      </c>
      <c r="S212" s="11" t="s">
        <v>19</v>
      </c>
      <c r="T212" s="11" t="s">
        <v>19</v>
      </c>
      <c r="U212" s="10"/>
      <c r="V212" s="10"/>
      <c r="W212" s="97" t="s">
        <v>19</v>
      </c>
      <c r="X212" s="97" t="s">
        <v>19</v>
      </c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39">
        <f t="shared" ref="AJ212" si="300">COUNTIFS(E212:AI213,"✓")/2</f>
        <v>6</v>
      </c>
      <c r="AK212" s="39">
        <f t="shared" ref="AK212" si="301">SUM(N214)</f>
        <v>0</v>
      </c>
      <c r="AL212" s="44">
        <v>230000</v>
      </c>
      <c r="AM212" s="44">
        <v>25000</v>
      </c>
      <c r="AN212" s="44">
        <f t="shared" ref="AN212" si="302">AL212*AJ212</f>
        <v>1380000</v>
      </c>
      <c r="AO212" s="44">
        <f t="shared" ref="AO212" si="303">AM212*AK212</f>
        <v>0</v>
      </c>
      <c r="AP212" s="44">
        <f t="shared" ref="AP212" si="304">AL212*AJ212+AM212*AK212</f>
        <v>1380000</v>
      </c>
    </row>
    <row r="213" spans="1:42">
      <c r="A213" s="40"/>
      <c r="B213" s="38"/>
      <c r="C213" s="43"/>
      <c r="D213" s="10" t="s">
        <v>20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1" t="s">
        <v>19</v>
      </c>
      <c r="R213" s="11" t="s">
        <v>19</v>
      </c>
      <c r="S213" s="11" t="s">
        <v>19</v>
      </c>
      <c r="T213" s="11" t="s">
        <v>19</v>
      </c>
      <c r="U213" s="10"/>
      <c r="V213" s="10"/>
      <c r="W213" s="97" t="s">
        <v>19</v>
      </c>
      <c r="X213" s="97" t="s">
        <v>19</v>
      </c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40"/>
      <c r="AK213" s="40"/>
      <c r="AL213" s="45"/>
      <c r="AM213" s="45"/>
      <c r="AN213" s="45"/>
      <c r="AO213" s="45"/>
      <c r="AP213" s="45"/>
    </row>
    <row r="214" spans="1:42">
      <c r="A214" s="40"/>
      <c r="B214" s="39"/>
      <c r="C214" s="43"/>
      <c r="D214" s="19" t="s">
        <v>21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40"/>
      <c r="AK214" s="40"/>
      <c r="AL214" s="46"/>
      <c r="AM214" s="46"/>
      <c r="AN214" s="46"/>
      <c r="AO214" s="46"/>
      <c r="AP214" s="46"/>
    </row>
    <row r="215" spans="1:42">
      <c r="A215" s="39">
        <f t="shared" ref="A215" si="305">A212+1</f>
        <v>70</v>
      </c>
      <c r="B215" s="38" t="s">
        <v>168</v>
      </c>
      <c r="C215" s="42" t="s">
        <v>24</v>
      </c>
      <c r="D215" s="10" t="s">
        <v>18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1" t="s">
        <v>19</v>
      </c>
      <c r="T215" s="11" t="s">
        <v>19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39">
        <f t="shared" ref="AJ215" si="306">COUNTIFS(E215:AI216,"✓")/2</f>
        <v>2</v>
      </c>
      <c r="AK215" s="39">
        <f t="shared" ref="AK215" si="307">SUM(N217)</f>
        <v>0</v>
      </c>
      <c r="AL215" s="44">
        <v>230000</v>
      </c>
      <c r="AM215" s="44">
        <v>25000</v>
      </c>
      <c r="AN215" s="44">
        <f t="shared" ref="AN215" si="308">AL215*AJ215</f>
        <v>460000</v>
      </c>
      <c r="AO215" s="44">
        <f t="shared" ref="AO215" si="309">AM215*AK215</f>
        <v>0</v>
      </c>
      <c r="AP215" s="44">
        <f t="shared" ref="AP215" si="310">AL215*AJ215+AM215*AK215</f>
        <v>460000</v>
      </c>
    </row>
    <row r="216" spans="1:42">
      <c r="A216" s="40"/>
      <c r="B216" s="38"/>
      <c r="C216" s="43"/>
      <c r="D216" s="10" t="s">
        <v>20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1" t="s">
        <v>19</v>
      </c>
      <c r="T216" s="11" t="s">
        <v>19</v>
      </c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40"/>
      <c r="AK216" s="40"/>
      <c r="AL216" s="45"/>
      <c r="AM216" s="45"/>
      <c r="AN216" s="45"/>
      <c r="AO216" s="45"/>
      <c r="AP216" s="45"/>
    </row>
    <row r="217" spans="1:42">
      <c r="A217" s="40"/>
      <c r="B217" s="39"/>
      <c r="C217" s="43"/>
      <c r="D217" s="19" t="s">
        <v>21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40"/>
      <c r="AK217" s="40"/>
      <c r="AL217" s="46"/>
      <c r="AM217" s="46"/>
      <c r="AN217" s="46"/>
      <c r="AO217" s="46"/>
      <c r="AP217" s="46"/>
    </row>
    <row r="218" spans="1:42">
      <c r="A218" s="39">
        <f t="shared" ref="A218" si="311">A215+1</f>
        <v>71</v>
      </c>
      <c r="B218" s="38" t="s">
        <v>71</v>
      </c>
      <c r="C218" s="42" t="s">
        <v>142</v>
      </c>
      <c r="D218" s="10" t="s">
        <v>18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1" t="s">
        <v>19</v>
      </c>
      <c r="T218" s="10"/>
      <c r="U218" s="11" t="s">
        <v>19</v>
      </c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39">
        <f t="shared" ref="AJ218" si="312">COUNTIFS(E218:AI219,"✓")/2</f>
        <v>2</v>
      </c>
      <c r="AK218" s="39">
        <f t="shared" ref="AK218" si="313">SUM(N220)</f>
        <v>0</v>
      </c>
      <c r="AL218" s="44">
        <v>230000</v>
      </c>
      <c r="AM218" s="44">
        <v>25000</v>
      </c>
      <c r="AN218" s="44">
        <f t="shared" ref="AN218" si="314">AL218*AJ218</f>
        <v>460000</v>
      </c>
      <c r="AO218" s="44">
        <f t="shared" ref="AO218" si="315">AM218*AK218</f>
        <v>0</v>
      </c>
      <c r="AP218" s="44">
        <f t="shared" ref="AP218" si="316">AL218*AJ218+AM218*AK218</f>
        <v>460000</v>
      </c>
    </row>
    <row r="219" spans="1:42">
      <c r="A219" s="40"/>
      <c r="B219" s="38"/>
      <c r="C219" s="43"/>
      <c r="D219" s="10" t="s">
        <v>20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1" t="s">
        <v>19</v>
      </c>
      <c r="T219" s="10"/>
      <c r="U219" s="11" t="s">
        <v>19</v>
      </c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40"/>
      <c r="AK219" s="40"/>
      <c r="AL219" s="45"/>
      <c r="AM219" s="45"/>
      <c r="AN219" s="45"/>
      <c r="AO219" s="45"/>
      <c r="AP219" s="45"/>
    </row>
    <row r="220" spans="1:42">
      <c r="A220" s="40"/>
      <c r="B220" s="39"/>
      <c r="C220" s="43"/>
      <c r="D220" s="19" t="s">
        <v>21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40"/>
      <c r="AK220" s="40"/>
      <c r="AL220" s="46"/>
      <c r="AM220" s="46"/>
      <c r="AN220" s="46"/>
      <c r="AO220" s="46"/>
      <c r="AP220" s="46"/>
    </row>
    <row r="221" spans="1:42">
      <c r="A221" s="39">
        <f t="shared" ref="A221" si="317">A218+1</f>
        <v>72</v>
      </c>
      <c r="B221" s="38" t="s">
        <v>169</v>
      </c>
      <c r="C221" s="42" t="s">
        <v>142</v>
      </c>
      <c r="D221" s="10" t="s">
        <v>18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1" t="s">
        <v>19</v>
      </c>
      <c r="T221" s="11" t="s">
        <v>19</v>
      </c>
      <c r="U221" s="11" t="s">
        <v>19</v>
      </c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39">
        <f t="shared" ref="AJ221" si="318">COUNTIFS(E221:AI222,"✓")/2</f>
        <v>3</v>
      </c>
      <c r="AK221" s="39">
        <f t="shared" ref="AK221" si="319">SUM(N223)</f>
        <v>0</v>
      </c>
      <c r="AL221" s="44">
        <v>230000</v>
      </c>
      <c r="AM221" s="44">
        <v>25000</v>
      </c>
      <c r="AN221" s="44">
        <f t="shared" ref="AN221" si="320">AL221*AJ221</f>
        <v>690000</v>
      </c>
      <c r="AO221" s="44">
        <f t="shared" ref="AO221" si="321">AM221*AK221</f>
        <v>0</v>
      </c>
      <c r="AP221" s="44">
        <f t="shared" ref="AP221" si="322">AL221*AJ221+AM221*AK221</f>
        <v>690000</v>
      </c>
    </row>
    <row r="222" spans="1:42">
      <c r="A222" s="40"/>
      <c r="B222" s="38"/>
      <c r="C222" s="43"/>
      <c r="D222" s="10" t="s">
        <v>20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1" t="s">
        <v>19</v>
      </c>
      <c r="T222" s="11" t="s">
        <v>19</v>
      </c>
      <c r="U222" s="11" t="s">
        <v>19</v>
      </c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40"/>
      <c r="AK222" s="40"/>
      <c r="AL222" s="45"/>
      <c r="AM222" s="45"/>
      <c r="AN222" s="45"/>
      <c r="AO222" s="45"/>
      <c r="AP222" s="45"/>
    </row>
    <row r="223" spans="1:42">
      <c r="A223" s="40"/>
      <c r="B223" s="39"/>
      <c r="C223" s="43"/>
      <c r="D223" s="19" t="s">
        <v>21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40"/>
      <c r="AK223" s="40"/>
      <c r="AL223" s="46"/>
      <c r="AM223" s="46"/>
      <c r="AN223" s="46"/>
      <c r="AO223" s="46"/>
      <c r="AP223" s="46"/>
    </row>
    <row r="224" spans="1:42">
      <c r="A224" s="39">
        <f t="shared" ref="A224" si="323">A221+1</f>
        <v>73</v>
      </c>
      <c r="B224" s="38" t="s">
        <v>170</v>
      </c>
      <c r="C224" s="42" t="s">
        <v>142</v>
      </c>
      <c r="D224" s="10" t="s">
        <v>18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1" t="s">
        <v>19</v>
      </c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39">
        <f t="shared" ref="AJ224" si="324">COUNTIFS(E224:AI225,"✓")/2</f>
        <v>1</v>
      </c>
      <c r="AK224" s="39">
        <f t="shared" ref="AK224" si="325">SUM(N226)</f>
        <v>0</v>
      </c>
      <c r="AL224" s="44">
        <v>230000</v>
      </c>
      <c r="AM224" s="44">
        <v>25000</v>
      </c>
      <c r="AN224" s="44">
        <f t="shared" ref="AN224" si="326">AL224*AJ224</f>
        <v>230000</v>
      </c>
      <c r="AO224" s="44">
        <f t="shared" ref="AO224" si="327">AM224*AK224</f>
        <v>0</v>
      </c>
      <c r="AP224" s="44">
        <f t="shared" ref="AP224" si="328">AL224*AJ224+AM224*AK224</f>
        <v>230000</v>
      </c>
    </row>
    <row r="225" spans="1:42">
      <c r="A225" s="40"/>
      <c r="B225" s="38"/>
      <c r="C225" s="43"/>
      <c r="D225" s="10" t="s">
        <v>20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1" t="s">
        <v>19</v>
      </c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40"/>
      <c r="AK225" s="40"/>
      <c r="AL225" s="45"/>
      <c r="AM225" s="45"/>
      <c r="AN225" s="45"/>
      <c r="AO225" s="45"/>
      <c r="AP225" s="45"/>
    </row>
    <row r="226" spans="1:42">
      <c r="A226" s="40"/>
      <c r="B226" s="39"/>
      <c r="C226" s="43"/>
      <c r="D226" s="19" t="s">
        <v>21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40"/>
      <c r="AK226" s="40"/>
      <c r="AL226" s="46"/>
      <c r="AM226" s="46"/>
      <c r="AN226" s="46"/>
      <c r="AO226" s="46"/>
      <c r="AP226" s="46"/>
    </row>
    <row r="227" spans="1:42">
      <c r="A227" s="39">
        <f t="shared" ref="A227" si="329">A224+1</f>
        <v>74</v>
      </c>
      <c r="B227" s="38"/>
      <c r="C227" s="42" t="s">
        <v>24</v>
      </c>
      <c r="D227" s="10" t="s">
        <v>18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39">
        <f t="shared" ref="AJ227" si="330">COUNTIFS(E227:AI228,"✓")/2</f>
        <v>0</v>
      </c>
      <c r="AK227" s="39">
        <f t="shared" ref="AK227" si="331">SUM(N229)</f>
        <v>0</v>
      </c>
      <c r="AL227" s="44">
        <v>230000</v>
      </c>
      <c r="AM227" s="44">
        <v>25000</v>
      </c>
      <c r="AN227" s="44">
        <f t="shared" ref="AN227" si="332">AL227*AJ227</f>
        <v>0</v>
      </c>
      <c r="AO227" s="44">
        <f t="shared" ref="AO227" si="333">AM227*AK227</f>
        <v>0</v>
      </c>
      <c r="AP227" s="44">
        <f t="shared" ref="AP227" si="334">AL227*AJ227+AM227*AK227</f>
        <v>0</v>
      </c>
    </row>
    <row r="228" spans="1:42">
      <c r="A228" s="40"/>
      <c r="B228" s="38"/>
      <c r="C228" s="43"/>
      <c r="D228" s="10" t="s">
        <v>20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40"/>
      <c r="AK228" s="40"/>
      <c r="AL228" s="45"/>
      <c r="AM228" s="45"/>
      <c r="AN228" s="45"/>
      <c r="AO228" s="45"/>
      <c r="AP228" s="45"/>
    </row>
    <row r="229" spans="1:42">
      <c r="A229" s="40"/>
      <c r="B229" s="39"/>
      <c r="C229" s="43"/>
      <c r="D229" s="19" t="s">
        <v>21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40"/>
      <c r="AK229" s="40"/>
      <c r="AL229" s="46"/>
      <c r="AM229" s="46"/>
      <c r="AN229" s="46"/>
      <c r="AO229" s="46"/>
      <c r="AP229" s="46"/>
    </row>
    <row r="230" spans="1:42">
      <c r="A230" s="39">
        <f t="shared" ref="A230" si="335">A227+1</f>
        <v>75</v>
      </c>
      <c r="B230" s="38"/>
      <c r="C230" s="42" t="s">
        <v>24</v>
      </c>
      <c r="D230" s="10" t="s">
        <v>18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39">
        <f t="shared" ref="AJ230" si="336">COUNTIFS(E230:AI231,"✓")/2</f>
        <v>0</v>
      </c>
      <c r="AK230" s="39">
        <f t="shared" ref="AK230" si="337">SUM(N232)</f>
        <v>0</v>
      </c>
      <c r="AL230" s="44">
        <v>230000</v>
      </c>
      <c r="AM230" s="44">
        <v>25000</v>
      </c>
      <c r="AN230" s="44">
        <f t="shared" ref="AN230" si="338">AL230*AJ230</f>
        <v>0</v>
      </c>
      <c r="AO230" s="44">
        <f t="shared" ref="AO230" si="339">AM230*AK230</f>
        <v>0</v>
      </c>
      <c r="AP230" s="44">
        <f t="shared" ref="AP230" si="340">AL230*AJ230+AM230*AK230</f>
        <v>0</v>
      </c>
    </row>
    <row r="231" spans="1:42">
      <c r="A231" s="40"/>
      <c r="B231" s="38"/>
      <c r="C231" s="43"/>
      <c r="D231" s="10" t="s">
        <v>20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40"/>
      <c r="AK231" s="40"/>
      <c r="AL231" s="45"/>
      <c r="AM231" s="45"/>
      <c r="AN231" s="45"/>
      <c r="AO231" s="45"/>
      <c r="AP231" s="45"/>
    </row>
    <row r="232" spans="1:42">
      <c r="A232" s="40"/>
      <c r="B232" s="39"/>
      <c r="C232" s="43"/>
      <c r="D232" s="19" t="s">
        <v>21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40"/>
      <c r="AK232" s="40"/>
      <c r="AL232" s="46"/>
      <c r="AM232" s="46"/>
      <c r="AN232" s="46"/>
      <c r="AO232" s="46"/>
      <c r="AP232" s="46"/>
    </row>
    <row r="233" spans="1:42">
      <c r="A233" s="39">
        <f t="shared" ref="A233" si="341">A230+1</f>
        <v>76</v>
      </c>
      <c r="B233" s="66"/>
      <c r="C233" s="67" t="s">
        <v>24</v>
      </c>
      <c r="D233" s="10" t="s">
        <v>18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38">
        <f>COUNTIFS(E233:AI234,"✓")/2</f>
        <v>0</v>
      </c>
      <c r="AK233" s="38">
        <f>SUM(N235)</f>
        <v>0</v>
      </c>
      <c r="AL233" s="47">
        <v>230000</v>
      </c>
      <c r="AM233" s="47">
        <v>25000</v>
      </c>
      <c r="AN233" s="47">
        <f>AL233*AJ233</f>
        <v>0</v>
      </c>
      <c r="AO233" s="47">
        <f>AM233*AK233</f>
        <v>0</v>
      </c>
      <c r="AP233" s="47">
        <f t="shared" ref="AP233" si="342">AL233*AJ233+AM233*AK233</f>
        <v>0</v>
      </c>
    </row>
    <row r="234" spans="1:42">
      <c r="A234" s="40"/>
      <c r="B234" s="66"/>
      <c r="C234" s="68"/>
      <c r="D234" s="10" t="s">
        <v>20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38"/>
      <c r="AK234" s="38"/>
      <c r="AL234" s="47"/>
      <c r="AM234" s="47"/>
      <c r="AN234" s="47"/>
      <c r="AO234" s="47"/>
      <c r="AP234" s="47"/>
    </row>
    <row r="235" spans="1:42">
      <c r="A235" s="40"/>
      <c r="B235" s="66"/>
      <c r="C235" s="68"/>
      <c r="D235" s="12" t="s">
        <v>21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38"/>
      <c r="AK235" s="38"/>
      <c r="AL235" s="47"/>
      <c r="AM235" s="47"/>
      <c r="AN235" s="47"/>
      <c r="AO235" s="47"/>
      <c r="AP235" s="47"/>
    </row>
    <row r="236" spans="1:42">
      <c r="A236" s="39">
        <f t="shared" ref="A236" si="343">A233+1</f>
        <v>77</v>
      </c>
      <c r="B236" s="66"/>
      <c r="C236" s="67" t="s">
        <v>24</v>
      </c>
      <c r="D236" s="10" t="s">
        <v>18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38">
        <f>COUNTIFS(E236:AI237,"✓")/2</f>
        <v>0</v>
      </c>
      <c r="AK236" s="38">
        <f>SUM(N238)</f>
        <v>0</v>
      </c>
      <c r="AL236" s="47">
        <v>230000</v>
      </c>
      <c r="AM236" s="47">
        <v>25000</v>
      </c>
      <c r="AN236" s="47">
        <f>AL236*AJ236</f>
        <v>0</v>
      </c>
      <c r="AO236" s="47">
        <f>AM236*AK236</f>
        <v>0</v>
      </c>
      <c r="AP236" s="47">
        <f t="shared" ref="AP236" si="344">AL236*AJ236+AM236*AK236</f>
        <v>0</v>
      </c>
    </row>
    <row r="237" spans="1:42">
      <c r="A237" s="40"/>
      <c r="B237" s="66"/>
      <c r="C237" s="68"/>
      <c r="D237" s="10" t="s">
        <v>20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38"/>
      <c r="AK237" s="38"/>
      <c r="AL237" s="47"/>
      <c r="AM237" s="47"/>
      <c r="AN237" s="47"/>
      <c r="AO237" s="47"/>
      <c r="AP237" s="47"/>
    </row>
    <row r="238" spans="1:42">
      <c r="A238" s="40"/>
      <c r="B238" s="66"/>
      <c r="C238" s="68"/>
      <c r="D238" s="12" t="s">
        <v>21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38"/>
      <c r="AK238" s="38"/>
      <c r="AL238" s="47"/>
      <c r="AM238" s="47"/>
      <c r="AN238" s="47"/>
      <c r="AO238" s="47"/>
      <c r="AP238" s="47"/>
    </row>
    <row r="239" spans="1:42">
      <c r="A239" s="39">
        <f t="shared" ref="A239" si="345">A236+1</f>
        <v>78</v>
      </c>
      <c r="B239" s="66"/>
      <c r="C239" s="67" t="s">
        <v>24</v>
      </c>
      <c r="D239" s="10" t="s">
        <v>18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38">
        <f>COUNTIFS(E239:AI241,"✓")/2</f>
        <v>0</v>
      </c>
      <c r="AK239" s="38">
        <f t="shared" ref="AK239" si="346">SUM(O241:AG241)</f>
        <v>0</v>
      </c>
      <c r="AL239" s="47">
        <v>230000</v>
      </c>
      <c r="AM239" s="47">
        <v>25000</v>
      </c>
      <c r="AN239" s="47">
        <f>AL239*AJ239</f>
        <v>0</v>
      </c>
      <c r="AO239" s="47">
        <f>AM239*AK239</f>
        <v>0</v>
      </c>
      <c r="AP239" s="47">
        <f t="shared" ref="AP239" si="347">AL239*AJ239+AM239*AK239</f>
        <v>0</v>
      </c>
    </row>
    <row r="240" spans="1:42">
      <c r="A240" s="40"/>
      <c r="B240" s="66"/>
      <c r="C240" s="68"/>
      <c r="D240" s="10" t="s">
        <v>20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38"/>
      <c r="AK240" s="38"/>
      <c r="AL240" s="47"/>
      <c r="AM240" s="47"/>
      <c r="AN240" s="47"/>
      <c r="AO240" s="47"/>
      <c r="AP240" s="47"/>
    </row>
    <row r="241" spans="1:42">
      <c r="A241" s="40"/>
      <c r="B241" s="66"/>
      <c r="C241" s="68"/>
      <c r="D241" s="12" t="s">
        <v>21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38"/>
      <c r="AK241" s="38"/>
      <c r="AL241" s="47"/>
      <c r="AM241" s="47"/>
      <c r="AN241" s="47"/>
      <c r="AO241" s="47"/>
      <c r="AP241" s="47"/>
    </row>
    <row r="242" spans="1:42">
      <c r="A242" s="60" t="s">
        <v>27</v>
      </c>
      <c r="B242" s="61"/>
      <c r="C242" s="61"/>
      <c r="D242" s="62"/>
      <c r="E242" s="52">
        <f t="shared" ref="E242:AI242" si="348">COUNTIFS(E5:E241,"✓")/2</f>
        <v>6.5</v>
      </c>
      <c r="F242" s="52">
        <f t="shared" si="348"/>
        <v>2.5</v>
      </c>
      <c r="G242" s="52">
        <f t="shared" si="348"/>
        <v>8</v>
      </c>
      <c r="H242" s="52">
        <f t="shared" si="348"/>
        <v>10</v>
      </c>
      <c r="I242" s="52">
        <f t="shared" si="348"/>
        <v>13.5</v>
      </c>
      <c r="J242" s="52">
        <f t="shared" si="348"/>
        <v>7</v>
      </c>
      <c r="K242" s="56">
        <f t="shared" si="348"/>
        <v>17</v>
      </c>
      <c r="L242" s="52">
        <f t="shared" si="348"/>
        <v>39</v>
      </c>
      <c r="M242" s="56">
        <f t="shared" si="348"/>
        <v>33.5</v>
      </c>
      <c r="N242" s="52">
        <f t="shared" si="348"/>
        <v>25</v>
      </c>
      <c r="O242" s="52">
        <f t="shared" si="348"/>
        <v>40</v>
      </c>
      <c r="P242" s="52">
        <f t="shared" si="348"/>
        <v>32</v>
      </c>
      <c r="Q242" s="58">
        <f t="shared" si="348"/>
        <v>33</v>
      </c>
      <c r="R242" s="52">
        <f t="shared" si="348"/>
        <v>23</v>
      </c>
      <c r="S242" s="52">
        <f t="shared" si="348"/>
        <v>22</v>
      </c>
      <c r="T242" s="52">
        <f t="shared" si="348"/>
        <v>21.5</v>
      </c>
      <c r="U242" s="52">
        <f t="shared" si="348"/>
        <v>18</v>
      </c>
      <c r="V242" s="52">
        <f t="shared" si="348"/>
        <v>0</v>
      </c>
      <c r="W242" s="52">
        <f t="shared" si="348"/>
        <v>17</v>
      </c>
      <c r="X242" s="52">
        <f t="shared" si="348"/>
        <v>19</v>
      </c>
      <c r="Y242" s="52">
        <f t="shared" si="348"/>
        <v>0</v>
      </c>
      <c r="Z242" s="52">
        <f t="shared" si="348"/>
        <v>0</v>
      </c>
      <c r="AA242" s="52">
        <f t="shared" si="348"/>
        <v>0</v>
      </c>
      <c r="AB242" s="52">
        <f t="shared" si="348"/>
        <v>0</v>
      </c>
      <c r="AC242" s="52">
        <f t="shared" si="348"/>
        <v>0</v>
      </c>
      <c r="AD242" s="52">
        <f t="shared" si="348"/>
        <v>0</v>
      </c>
      <c r="AE242" s="52">
        <f t="shared" si="348"/>
        <v>0</v>
      </c>
      <c r="AF242" s="52">
        <f t="shared" si="348"/>
        <v>0</v>
      </c>
      <c r="AG242" s="52">
        <f t="shared" si="348"/>
        <v>0</v>
      </c>
      <c r="AH242" s="52">
        <f t="shared" si="348"/>
        <v>0</v>
      </c>
      <c r="AI242" s="52">
        <f t="shared" si="348"/>
        <v>0</v>
      </c>
      <c r="AJ242" s="54">
        <f>SUM(E242:AI243)</f>
        <v>387.5</v>
      </c>
      <c r="AK242" s="52">
        <f>SUM(AK4:AK241)</f>
        <v>19.5</v>
      </c>
      <c r="AL242" s="50"/>
      <c r="AM242" s="50"/>
      <c r="AN242" s="50">
        <f>SUM(AN4:AN241)</f>
        <v>91660000</v>
      </c>
      <c r="AO242" s="50">
        <f>SUM(AO4:AO241)</f>
        <v>487500</v>
      </c>
      <c r="AP242" s="50">
        <f>SUM(AP4:AP241)</f>
        <v>91457500</v>
      </c>
    </row>
    <row r="243" spans="1:42">
      <c r="A243" s="63"/>
      <c r="B243" s="64"/>
      <c r="C243" s="64"/>
      <c r="D243" s="65"/>
      <c r="E243" s="53"/>
      <c r="F243" s="53"/>
      <c r="G243" s="53"/>
      <c r="H243" s="53"/>
      <c r="I243" s="53"/>
      <c r="J243" s="53"/>
      <c r="K243" s="57"/>
      <c r="L243" s="53"/>
      <c r="M243" s="57"/>
      <c r="N243" s="53"/>
      <c r="O243" s="53"/>
      <c r="P243" s="53"/>
      <c r="Q243" s="59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5"/>
      <c r="AK243" s="53"/>
      <c r="AL243" s="51"/>
      <c r="AM243" s="51"/>
      <c r="AN243" s="51"/>
      <c r="AO243" s="51"/>
      <c r="AP243" s="51"/>
    </row>
    <row r="244" spans="1:42" ht="16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4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5"/>
      <c r="AM244" s="15"/>
      <c r="AN244" s="15"/>
      <c r="AO244" s="15"/>
      <c r="AP244" s="15"/>
    </row>
  </sheetData>
  <autoFilter ref="AP3:AP243" xr:uid="{00000000-0009-0000-0000-000000000000}"/>
  <mergeCells count="836">
    <mergeCell ref="AO137:AO139"/>
    <mergeCell ref="AO143:AO145"/>
    <mergeCell ref="AO155:AO157"/>
    <mergeCell ref="AP98:AP100"/>
    <mergeCell ref="AP101:AP103"/>
    <mergeCell ref="AP104:AP106"/>
    <mergeCell ref="AP107:AP109"/>
    <mergeCell ref="AP110:AP112"/>
    <mergeCell ref="AP113:AP115"/>
    <mergeCell ref="AP116:AP118"/>
    <mergeCell ref="AP119:AP121"/>
    <mergeCell ref="AP122:AP124"/>
    <mergeCell ref="AP125:AP127"/>
    <mergeCell ref="AP131:AP133"/>
    <mergeCell ref="AP134:AP136"/>
    <mergeCell ref="AP137:AP139"/>
    <mergeCell ref="AP143:AP145"/>
    <mergeCell ref="AP155:AP157"/>
    <mergeCell ref="AO98:AO100"/>
    <mergeCell ref="AO101:AO103"/>
    <mergeCell ref="AO104:AO106"/>
    <mergeCell ref="AO107:AO109"/>
    <mergeCell ref="AO110:AO112"/>
    <mergeCell ref="AO113:AO115"/>
    <mergeCell ref="AO116:AO118"/>
    <mergeCell ref="AO119:AO121"/>
    <mergeCell ref="AO122:AO124"/>
    <mergeCell ref="AM125:AM127"/>
    <mergeCell ref="AM131:AM133"/>
    <mergeCell ref="AM134:AM136"/>
    <mergeCell ref="AM116:AM118"/>
    <mergeCell ref="AM119:AM121"/>
    <mergeCell ref="AM122:AM124"/>
    <mergeCell ref="AO125:AO127"/>
    <mergeCell ref="AO131:AO133"/>
    <mergeCell ref="AO134:AO136"/>
    <mergeCell ref="AM137:AM139"/>
    <mergeCell ref="AM143:AM145"/>
    <mergeCell ref="AM155:AM157"/>
    <mergeCell ref="AN98:AN100"/>
    <mergeCell ref="AN101:AN103"/>
    <mergeCell ref="AN104:AN106"/>
    <mergeCell ref="AN107:AN109"/>
    <mergeCell ref="AN110:AN112"/>
    <mergeCell ref="AN113:AN115"/>
    <mergeCell ref="AN116:AN118"/>
    <mergeCell ref="AN119:AN121"/>
    <mergeCell ref="AN122:AN124"/>
    <mergeCell ref="AN125:AN127"/>
    <mergeCell ref="AN131:AN133"/>
    <mergeCell ref="AN134:AN136"/>
    <mergeCell ref="AN137:AN139"/>
    <mergeCell ref="AN143:AN145"/>
    <mergeCell ref="AN155:AN157"/>
    <mergeCell ref="AM98:AM100"/>
    <mergeCell ref="AM101:AM103"/>
    <mergeCell ref="AM104:AM106"/>
    <mergeCell ref="AM107:AM109"/>
    <mergeCell ref="AM110:AM112"/>
    <mergeCell ref="AM113:AM115"/>
    <mergeCell ref="AL125:AL127"/>
    <mergeCell ref="AL131:AL133"/>
    <mergeCell ref="AL134:AL136"/>
    <mergeCell ref="AL137:AL139"/>
    <mergeCell ref="AL143:AL145"/>
    <mergeCell ref="AL155:AL157"/>
    <mergeCell ref="AJ113:AJ115"/>
    <mergeCell ref="AJ116:AJ118"/>
    <mergeCell ref="AJ119:AJ121"/>
    <mergeCell ref="AJ122:AJ124"/>
    <mergeCell ref="AJ125:AJ127"/>
    <mergeCell ref="AJ131:AJ133"/>
    <mergeCell ref="AJ134:AJ136"/>
    <mergeCell ref="AJ137:AJ139"/>
    <mergeCell ref="AK119:AK121"/>
    <mergeCell ref="AK122:AK124"/>
    <mergeCell ref="AK125:AK127"/>
    <mergeCell ref="AK131:AK133"/>
    <mergeCell ref="AK134:AK136"/>
    <mergeCell ref="AK137:AK139"/>
    <mergeCell ref="AK143:AK145"/>
    <mergeCell ref="AK155:AK157"/>
    <mergeCell ref="AL98:AL100"/>
    <mergeCell ref="AL101:AL103"/>
    <mergeCell ref="AL104:AL106"/>
    <mergeCell ref="AL107:AL109"/>
    <mergeCell ref="AL110:AL112"/>
    <mergeCell ref="AL113:AL115"/>
    <mergeCell ref="AL116:AL118"/>
    <mergeCell ref="AL119:AL121"/>
    <mergeCell ref="AL122:AL124"/>
    <mergeCell ref="AJ98:AJ100"/>
    <mergeCell ref="AJ101:AJ103"/>
    <mergeCell ref="AK98:AK100"/>
    <mergeCell ref="AK101:AK103"/>
    <mergeCell ref="AK104:AK106"/>
    <mergeCell ref="AK107:AK109"/>
    <mergeCell ref="AK110:AK112"/>
    <mergeCell ref="AK113:AK115"/>
    <mergeCell ref="AK116:AK118"/>
    <mergeCell ref="C155:C157"/>
    <mergeCell ref="A101:A103"/>
    <mergeCell ref="B101:B103"/>
    <mergeCell ref="B104:B106"/>
    <mergeCell ref="AJ110:AJ112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B107:B109"/>
    <mergeCell ref="AJ143:AJ145"/>
    <mergeCell ref="A134:A136"/>
    <mergeCell ref="A137:A139"/>
    <mergeCell ref="A143:A145"/>
    <mergeCell ref="A155:A157"/>
    <mergeCell ref="C101:C103"/>
    <mergeCell ref="AJ104:AJ106"/>
    <mergeCell ref="AJ107:AJ109"/>
    <mergeCell ref="AJ155:AJ157"/>
    <mergeCell ref="C122:C124"/>
    <mergeCell ref="C125:C127"/>
    <mergeCell ref="A1:U1"/>
    <mergeCell ref="A2:U2"/>
    <mergeCell ref="A3:A4"/>
    <mergeCell ref="B3:B4"/>
    <mergeCell ref="C3:C4"/>
    <mergeCell ref="D3:D4"/>
    <mergeCell ref="E3:AI3"/>
    <mergeCell ref="B95:B97"/>
    <mergeCell ref="C95:C97"/>
    <mergeCell ref="A8:A10"/>
    <mergeCell ref="B8:B10"/>
    <mergeCell ref="C8:C10"/>
    <mergeCell ref="A14:A16"/>
    <mergeCell ref="B14:B16"/>
    <mergeCell ref="C14:C16"/>
    <mergeCell ref="A20:A22"/>
    <mergeCell ref="B89:B91"/>
    <mergeCell ref="C89:C91"/>
    <mergeCell ref="AP3:AP4"/>
    <mergeCell ref="A5:A7"/>
    <mergeCell ref="B5:B7"/>
    <mergeCell ref="C5:C7"/>
    <mergeCell ref="AJ5:AJ7"/>
    <mergeCell ref="AK5:AK7"/>
    <mergeCell ref="AL5:AL7"/>
    <mergeCell ref="AM5:AM7"/>
    <mergeCell ref="AN5:AN7"/>
    <mergeCell ref="AO5:AO7"/>
    <mergeCell ref="AJ3:AJ4"/>
    <mergeCell ref="AK3:AK4"/>
    <mergeCell ref="AL3:AL4"/>
    <mergeCell ref="AM3:AM4"/>
    <mergeCell ref="AN3:AN4"/>
    <mergeCell ref="AO3:AO4"/>
    <mergeCell ref="AP5:AP7"/>
    <mergeCell ref="AJ8:AJ10"/>
    <mergeCell ref="AK8:AK10"/>
    <mergeCell ref="AL8:AL10"/>
    <mergeCell ref="AM8:AM10"/>
    <mergeCell ref="AN8:AN10"/>
    <mergeCell ref="AO8:AO10"/>
    <mergeCell ref="AP8:AP10"/>
    <mergeCell ref="A11:A13"/>
    <mergeCell ref="B11:B13"/>
    <mergeCell ref="C11:C13"/>
    <mergeCell ref="AJ11:AJ13"/>
    <mergeCell ref="AK11:AK13"/>
    <mergeCell ref="AL11:AL13"/>
    <mergeCell ref="AM11:AM13"/>
    <mergeCell ref="AN11:AN13"/>
    <mergeCell ref="AO11:AO13"/>
    <mergeCell ref="AP11:AP13"/>
    <mergeCell ref="AJ14:AJ16"/>
    <mergeCell ref="AK14:AK16"/>
    <mergeCell ref="AL14:AL16"/>
    <mergeCell ref="AM14:AM16"/>
    <mergeCell ref="AN14:AN16"/>
    <mergeCell ref="AO14:AO16"/>
    <mergeCell ref="AP14:AP16"/>
    <mergeCell ref="A17:A19"/>
    <mergeCell ref="B17:B19"/>
    <mergeCell ref="C17:C19"/>
    <mergeCell ref="AJ17:AJ19"/>
    <mergeCell ref="AK17:AK19"/>
    <mergeCell ref="AL17:AL19"/>
    <mergeCell ref="AM17:AM19"/>
    <mergeCell ref="AN17:AN19"/>
    <mergeCell ref="AO17:AO19"/>
    <mergeCell ref="AP17:AP19"/>
    <mergeCell ref="AJ20:AJ22"/>
    <mergeCell ref="AK20:AK22"/>
    <mergeCell ref="AL20:AL22"/>
    <mergeCell ref="AM20:AM22"/>
    <mergeCell ref="AN20:AN22"/>
    <mergeCell ref="AO20:AO22"/>
    <mergeCell ref="AP20:AP22"/>
    <mergeCell ref="A23:A25"/>
    <mergeCell ref="B23:B25"/>
    <mergeCell ref="C23:C25"/>
    <mergeCell ref="AJ23:AJ25"/>
    <mergeCell ref="AK23:AK25"/>
    <mergeCell ref="AL23:AL25"/>
    <mergeCell ref="AM23:AM25"/>
    <mergeCell ref="AN23:AN25"/>
    <mergeCell ref="AO23:AO25"/>
    <mergeCell ref="AP23:AP25"/>
    <mergeCell ref="B20:B22"/>
    <mergeCell ref="C20:C22"/>
    <mergeCell ref="AJ26:AJ28"/>
    <mergeCell ref="AK26:AK28"/>
    <mergeCell ref="AL26:AL28"/>
    <mergeCell ref="AM26:AM28"/>
    <mergeCell ref="AN26:AN28"/>
    <mergeCell ref="AO26:AO28"/>
    <mergeCell ref="AP26:AP28"/>
    <mergeCell ref="A29:A31"/>
    <mergeCell ref="B29:B31"/>
    <mergeCell ref="C29:C31"/>
    <mergeCell ref="AJ29:AJ31"/>
    <mergeCell ref="AK29:AK31"/>
    <mergeCell ref="AL29:AL31"/>
    <mergeCell ref="AM29:AM31"/>
    <mergeCell ref="AN29:AN31"/>
    <mergeCell ref="AO29:AO31"/>
    <mergeCell ref="AP29:AP31"/>
    <mergeCell ref="A26:A28"/>
    <mergeCell ref="B26:B28"/>
    <mergeCell ref="C26:C28"/>
    <mergeCell ref="AJ32:AJ34"/>
    <mergeCell ref="AK32:AK34"/>
    <mergeCell ref="AL32:AL34"/>
    <mergeCell ref="AM32:AM34"/>
    <mergeCell ref="AN32:AN34"/>
    <mergeCell ref="AO32:AO34"/>
    <mergeCell ref="AP32:AP34"/>
    <mergeCell ref="A35:A37"/>
    <mergeCell ref="B35:B37"/>
    <mergeCell ref="C35:C37"/>
    <mergeCell ref="AJ35:AJ37"/>
    <mergeCell ref="AK35:AK37"/>
    <mergeCell ref="AL35:AL37"/>
    <mergeCell ref="AM35:AM37"/>
    <mergeCell ref="AN35:AN37"/>
    <mergeCell ref="AO35:AO37"/>
    <mergeCell ref="AP35:AP37"/>
    <mergeCell ref="A32:A34"/>
    <mergeCell ref="B32:B34"/>
    <mergeCell ref="C32:C34"/>
    <mergeCell ref="AP38:AP40"/>
    <mergeCell ref="A41:A43"/>
    <mergeCell ref="B41:B43"/>
    <mergeCell ref="C41:C43"/>
    <mergeCell ref="AJ41:AJ43"/>
    <mergeCell ref="AK41:AK43"/>
    <mergeCell ref="AL41:AL43"/>
    <mergeCell ref="AM41:AM43"/>
    <mergeCell ref="AN41:AN43"/>
    <mergeCell ref="AO41:AO43"/>
    <mergeCell ref="AP41:AP43"/>
    <mergeCell ref="A38:A40"/>
    <mergeCell ref="B38:B40"/>
    <mergeCell ref="C38:C40"/>
    <mergeCell ref="AJ38:AJ40"/>
    <mergeCell ref="AK38:AK40"/>
    <mergeCell ref="AL38:AL40"/>
    <mergeCell ref="AM38:AM40"/>
    <mergeCell ref="AN38:AN40"/>
    <mergeCell ref="AO38:AO40"/>
    <mergeCell ref="AP44:AP46"/>
    <mergeCell ref="A47:A49"/>
    <mergeCell ref="B47:B49"/>
    <mergeCell ref="C47:C49"/>
    <mergeCell ref="AJ47:AJ49"/>
    <mergeCell ref="AK47:AK49"/>
    <mergeCell ref="AL47:AL49"/>
    <mergeCell ref="AM47:AM49"/>
    <mergeCell ref="AN47:AN49"/>
    <mergeCell ref="AO47:AO49"/>
    <mergeCell ref="AP47:AP49"/>
    <mergeCell ref="A44:A46"/>
    <mergeCell ref="B44:B46"/>
    <mergeCell ref="C44:C46"/>
    <mergeCell ref="AJ44:AJ46"/>
    <mergeCell ref="AK44:AK46"/>
    <mergeCell ref="AL44:AL46"/>
    <mergeCell ref="AM44:AM46"/>
    <mergeCell ref="AN44:AN46"/>
    <mergeCell ref="AO44:AO46"/>
    <mergeCell ref="AP50:AP52"/>
    <mergeCell ref="A53:A55"/>
    <mergeCell ref="B53:B55"/>
    <mergeCell ref="C53:C55"/>
    <mergeCell ref="AJ53:AJ55"/>
    <mergeCell ref="AK53:AK55"/>
    <mergeCell ref="AL53:AL55"/>
    <mergeCell ref="AM53:AM55"/>
    <mergeCell ref="AN53:AN55"/>
    <mergeCell ref="AO53:AO55"/>
    <mergeCell ref="AP53:AP55"/>
    <mergeCell ref="A50:A52"/>
    <mergeCell ref="B50:B52"/>
    <mergeCell ref="C50:C52"/>
    <mergeCell ref="AJ50:AJ52"/>
    <mergeCell ref="AK50:AK52"/>
    <mergeCell ref="AL50:AL52"/>
    <mergeCell ref="AM50:AM52"/>
    <mergeCell ref="AN50:AN52"/>
    <mergeCell ref="AO50:AO52"/>
    <mergeCell ref="AP56:AP58"/>
    <mergeCell ref="A59:A61"/>
    <mergeCell ref="B59:B61"/>
    <mergeCell ref="C59:C61"/>
    <mergeCell ref="AJ59:AJ61"/>
    <mergeCell ref="AK59:AK61"/>
    <mergeCell ref="AL59:AL61"/>
    <mergeCell ref="AM59:AM61"/>
    <mergeCell ref="AN59:AN61"/>
    <mergeCell ref="AO59:AO61"/>
    <mergeCell ref="AP59:AP61"/>
    <mergeCell ref="A56:A58"/>
    <mergeCell ref="B56:B58"/>
    <mergeCell ref="C56:C58"/>
    <mergeCell ref="AJ56:AJ58"/>
    <mergeCell ref="AK56:AK58"/>
    <mergeCell ref="AL56:AL58"/>
    <mergeCell ref="AM56:AM58"/>
    <mergeCell ref="AN56:AN58"/>
    <mergeCell ref="AO56:AO58"/>
    <mergeCell ref="AP62:AP64"/>
    <mergeCell ref="A65:A67"/>
    <mergeCell ref="B65:B67"/>
    <mergeCell ref="C65:C67"/>
    <mergeCell ref="AJ65:AJ67"/>
    <mergeCell ref="AK65:AK67"/>
    <mergeCell ref="AL65:AL67"/>
    <mergeCell ref="AM65:AM67"/>
    <mergeCell ref="AN65:AN67"/>
    <mergeCell ref="AO65:AO67"/>
    <mergeCell ref="AP65:AP67"/>
    <mergeCell ref="A62:A64"/>
    <mergeCell ref="B62:B64"/>
    <mergeCell ref="C62:C64"/>
    <mergeCell ref="AJ62:AJ64"/>
    <mergeCell ref="AK62:AK64"/>
    <mergeCell ref="AL62:AL64"/>
    <mergeCell ref="AM62:AM64"/>
    <mergeCell ref="AN62:AN64"/>
    <mergeCell ref="AO62:AO64"/>
    <mergeCell ref="AP68:AP70"/>
    <mergeCell ref="A71:A73"/>
    <mergeCell ref="B71:B73"/>
    <mergeCell ref="C71:C73"/>
    <mergeCell ref="AJ71:AJ73"/>
    <mergeCell ref="AK71:AK73"/>
    <mergeCell ref="AL71:AL73"/>
    <mergeCell ref="AM71:AM73"/>
    <mergeCell ref="AN71:AN73"/>
    <mergeCell ref="AO71:AO73"/>
    <mergeCell ref="AP71:AP73"/>
    <mergeCell ref="A68:A70"/>
    <mergeCell ref="B68:B70"/>
    <mergeCell ref="C68:C70"/>
    <mergeCell ref="AJ68:AJ70"/>
    <mergeCell ref="AK68:AK70"/>
    <mergeCell ref="AL68:AL70"/>
    <mergeCell ref="AM68:AM70"/>
    <mergeCell ref="AN68:AN70"/>
    <mergeCell ref="AO68:AO70"/>
    <mergeCell ref="AP74:AP76"/>
    <mergeCell ref="A77:A79"/>
    <mergeCell ref="B77:B79"/>
    <mergeCell ref="C77:C79"/>
    <mergeCell ref="AJ77:AJ79"/>
    <mergeCell ref="AK77:AK79"/>
    <mergeCell ref="AL77:AL79"/>
    <mergeCell ref="AM77:AM79"/>
    <mergeCell ref="AN77:AN79"/>
    <mergeCell ref="AO77:AO79"/>
    <mergeCell ref="AP77:AP79"/>
    <mergeCell ref="A74:A76"/>
    <mergeCell ref="B74:B76"/>
    <mergeCell ref="C74:C76"/>
    <mergeCell ref="AJ74:AJ76"/>
    <mergeCell ref="AK74:AK76"/>
    <mergeCell ref="AL74:AL76"/>
    <mergeCell ref="AM74:AM76"/>
    <mergeCell ref="AN74:AN76"/>
    <mergeCell ref="AO74:AO76"/>
    <mergeCell ref="AP80:AP82"/>
    <mergeCell ref="A83:A85"/>
    <mergeCell ref="B83:B85"/>
    <mergeCell ref="C83:C85"/>
    <mergeCell ref="AJ83:AJ85"/>
    <mergeCell ref="AK83:AK85"/>
    <mergeCell ref="AL83:AL85"/>
    <mergeCell ref="AM83:AM85"/>
    <mergeCell ref="AN83:AN85"/>
    <mergeCell ref="AO83:AO85"/>
    <mergeCell ref="AP83:AP85"/>
    <mergeCell ref="A80:A82"/>
    <mergeCell ref="B80:B82"/>
    <mergeCell ref="C80:C82"/>
    <mergeCell ref="AJ80:AJ82"/>
    <mergeCell ref="AK80:AK82"/>
    <mergeCell ref="AL80:AL82"/>
    <mergeCell ref="AM80:AM82"/>
    <mergeCell ref="AN80:AN82"/>
    <mergeCell ref="AO80:AO82"/>
    <mergeCell ref="AP167:AP169"/>
    <mergeCell ref="A164:A166"/>
    <mergeCell ref="B164:B166"/>
    <mergeCell ref="C164:C166"/>
    <mergeCell ref="AJ164:AJ166"/>
    <mergeCell ref="AK164:AK166"/>
    <mergeCell ref="AL164:AL166"/>
    <mergeCell ref="AM164:AM166"/>
    <mergeCell ref="AN164:AN166"/>
    <mergeCell ref="AO164:AO166"/>
    <mergeCell ref="A167:A169"/>
    <mergeCell ref="B167:B169"/>
    <mergeCell ref="C167:C169"/>
    <mergeCell ref="AJ167:AJ169"/>
    <mergeCell ref="AK167:AK169"/>
    <mergeCell ref="AL167:AL169"/>
    <mergeCell ref="AM167:AM169"/>
    <mergeCell ref="AN167:AN169"/>
    <mergeCell ref="AO167:AO169"/>
    <mergeCell ref="B233:B235"/>
    <mergeCell ref="C233:C235"/>
    <mergeCell ref="A239:A241"/>
    <mergeCell ref="B239:B241"/>
    <mergeCell ref="C239:C241"/>
    <mergeCell ref="AJ239:AJ241"/>
    <mergeCell ref="AK239:AK241"/>
    <mergeCell ref="AL239:AL241"/>
    <mergeCell ref="AM239:AM241"/>
    <mergeCell ref="A233:A235"/>
    <mergeCell ref="A236:A238"/>
    <mergeCell ref="B236:B238"/>
    <mergeCell ref="C236:C238"/>
    <mergeCell ref="M242:M243"/>
    <mergeCell ref="N242:N243"/>
    <mergeCell ref="O242:O243"/>
    <mergeCell ref="P242:P243"/>
    <mergeCell ref="Q242:Q243"/>
    <mergeCell ref="R242:R243"/>
    <mergeCell ref="AP239:AP241"/>
    <mergeCell ref="A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Y242:Y243"/>
    <mergeCell ref="Z242:Z243"/>
    <mergeCell ref="AA242:AA243"/>
    <mergeCell ref="AB242:AB243"/>
    <mergeCell ref="AC242:AC243"/>
    <mergeCell ref="AD242:AD243"/>
    <mergeCell ref="S242:S243"/>
    <mergeCell ref="T242:T243"/>
    <mergeCell ref="U242:U243"/>
    <mergeCell ref="V242:V243"/>
    <mergeCell ref="W242:W243"/>
    <mergeCell ref="X242:X243"/>
    <mergeCell ref="AK242:AK243"/>
    <mergeCell ref="AL242:AL243"/>
    <mergeCell ref="AM242:AM243"/>
    <mergeCell ref="AN242:AN243"/>
    <mergeCell ref="AO242:AO243"/>
    <mergeCell ref="AP242:AP243"/>
    <mergeCell ref="AE242:AE243"/>
    <mergeCell ref="AF242:AF243"/>
    <mergeCell ref="AG242:AG243"/>
    <mergeCell ref="AH242:AH243"/>
    <mergeCell ref="AI242:AI243"/>
    <mergeCell ref="AJ242:AJ243"/>
    <mergeCell ref="AP161:AP163"/>
    <mergeCell ref="AJ161:AJ163"/>
    <mergeCell ref="AK161:AK163"/>
    <mergeCell ref="AL161:AL163"/>
    <mergeCell ref="AM161:AM163"/>
    <mergeCell ref="AN161:AN163"/>
    <mergeCell ref="AO161:AO163"/>
    <mergeCell ref="AJ233:AJ235"/>
    <mergeCell ref="AK233:AK235"/>
    <mergeCell ref="AL233:AL235"/>
    <mergeCell ref="AM233:AM235"/>
    <mergeCell ref="AN233:AN235"/>
    <mergeCell ref="AO233:AO235"/>
    <mergeCell ref="AP233:AP235"/>
    <mergeCell ref="AN239:AN241"/>
    <mergeCell ref="AO239:AO241"/>
    <mergeCell ref="AP164:AP166"/>
    <mergeCell ref="AP92:AP94"/>
    <mergeCell ref="A95:A97"/>
    <mergeCell ref="AP89:AP91"/>
    <mergeCell ref="A92:A94"/>
    <mergeCell ref="B92:B94"/>
    <mergeCell ref="C92:C94"/>
    <mergeCell ref="A86:A88"/>
    <mergeCell ref="B86:B88"/>
    <mergeCell ref="C86:C88"/>
    <mergeCell ref="AJ86:AJ88"/>
    <mergeCell ref="AK86:AK88"/>
    <mergeCell ref="AL86:AL88"/>
    <mergeCell ref="AM86:AM88"/>
    <mergeCell ref="AN86:AN88"/>
    <mergeCell ref="AO86:AO88"/>
    <mergeCell ref="AJ95:AJ97"/>
    <mergeCell ref="AK95:AK97"/>
    <mergeCell ref="AL95:AL97"/>
    <mergeCell ref="AM95:AM97"/>
    <mergeCell ref="AN95:AN97"/>
    <mergeCell ref="AO95:AO97"/>
    <mergeCell ref="AP95:AP97"/>
    <mergeCell ref="AP86:AP88"/>
    <mergeCell ref="A89:A91"/>
    <mergeCell ref="AJ89:AJ91"/>
    <mergeCell ref="AK89:AK91"/>
    <mergeCell ref="AL89:AL91"/>
    <mergeCell ref="AM89:AM91"/>
    <mergeCell ref="AN89:AN91"/>
    <mergeCell ref="AO89:AO91"/>
    <mergeCell ref="AJ92:AJ94"/>
    <mergeCell ref="AK92:AK94"/>
    <mergeCell ref="AL92:AL94"/>
    <mergeCell ref="AM92:AM94"/>
    <mergeCell ref="AN92:AN94"/>
    <mergeCell ref="AO92:AO94"/>
    <mergeCell ref="A161:A163"/>
    <mergeCell ref="B161:B163"/>
    <mergeCell ref="C161:C163"/>
    <mergeCell ref="B110:B112"/>
    <mergeCell ref="B113:B115"/>
    <mergeCell ref="B116:B118"/>
    <mergeCell ref="B119:B121"/>
    <mergeCell ref="B122:B124"/>
    <mergeCell ref="A98:A100"/>
    <mergeCell ref="B98:B100"/>
    <mergeCell ref="C98:C100"/>
    <mergeCell ref="A131:A133"/>
    <mergeCell ref="B125:B127"/>
    <mergeCell ref="B131:B133"/>
    <mergeCell ref="B134:B136"/>
    <mergeCell ref="B137:B139"/>
    <mergeCell ref="B143:B145"/>
    <mergeCell ref="B155:B157"/>
    <mergeCell ref="C104:C106"/>
    <mergeCell ref="C107:C109"/>
    <mergeCell ref="C110:C112"/>
    <mergeCell ref="C113:C115"/>
    <mergeCell ref="C116:C118"/>
    <mergeCell ref="C119:C121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AJ170:AJ172"/>
    <mergeCell ref="AK170:AK172"/>
    <mergeCell ref="AL170:AL172"/>
    <mergeCell ref="AM170:AM172"/>
    <mergeCell ref="AN170:AN172"/>
    <mergeCell ref="AO170:AO172"/>
    <mergeCell ref="AJ179:AJ181"/>
    <mergeCell ref="AK179:AK181"/>
    <mergeCell ref="AL179:AL181"/>
    <mergeCell ref="AM179:AM181"/>
    <mergeCell ref="AN179:AN181"/>
    <mergeCell ref="AO179:AO181"/>
    <mergeCell ref="AJ188:AJ190"/>
    <mergeCell ref="AK188:AK190"/>
    <mergeCell ref="AL188:AL190"/>
    <mergeCell ref="AM188:AM190"/>
    <mergeCell ref="AN188:AN190"/>
    <mergeCell ref="AO188:AO190"/>
    <mergeCell ref="AJ197:AJ199"/>
    <mergeCell ref="AK197:AK199"/>
    <mergeCell ref="AL197:AL199"/>
    <mergeCell ref="AP170:AP172"/>
    <mergeCell ref="AJ173:AJ175"/>
    <mergeCell ref="AK173:AK175"/>
    <mergeCell ref="AL173:AL175"/>
    <mergeCell ref="AM173:AM175"/>
    <mergeCell ref="AN173:AN175"/>
    <mergeCell ref="AO173:AO175"/>
    <mergeCell ref="AP173:AP175"/>
    <mergeCell ref="AJ176:AJ178"/>
    <mergeCell ref="AK176:AK178"/>
    <mergeCell ref="AL176:AL178"/>
    <mergeCell ref="AM176:AM178"/>
    <mergeCell ref="AN176:AN178"/>
    <mergeCell ref="AO176:AO178"/>
    <mergeCell ref="AP176:AP178"/>
    <mergeCell ref="AP179:AP181"/>
    <mergeCell ref="AJ182:AJ184"/>
    <mergeCell ref="AK182:AK184"/>
    <mergeCell ref="AL182:AL184"/>
    <mergeCell ref="AM182:AM184"/>
    <mergeCell ref="AN182:AN184"/>
    <mergeCell ref="AO182:AO184"/>
    <mergeCell ref="AP182:AP184"/>
    <mergeCell ref="AJ185:AJ187"/>
    <mergeCell ref="AK185:AK187"/>
    <mergeCell ref="AL185:AL187"/>
    <mergeCell ref="AM185:AM187"/>
    <mergeCell ref="AN185:AN187"/>
    <mergeCell ref="AO185:AO187"/>
    <mergeCell ref="AP185:AP187"/>
    <mergeCell ref="AP188:AP190"/>
    <mergeCell ref="AJ191:AJ193"/>
    <mergeCell ref="AK191:AK193"/>
    <mergeCell ref="AL191:AL193"/>
    <mergeCell ref="AM191:AM193"/>
    <mergeCell ref="AN191:AN193"/>
    <mergeCell ref="AO191:AO193"/>
    <mergeCell ref="AP191:AP193"/>
    <mergeCell ref="AJ194:AJ196"/>
    <mergeCell ref="AK194:AK196"/>
    <mergeCell ref="AL194:AL196"/>
    <mergeCell ref="AM194:AM196"/>
    <mergeCell ref="AN194:AN196"/>
    <mergeCell ref="AO194:AO196"/>
    <mergeCell ref="AP194:AP196"/>
    <mergeCell ref="AM197:AM199"/>
    <mergeCell ref="AN197:AN199"/>
    <mergeCell ref="AO197:AO199"/>
    <mergeCell ref="AP197:AP199"/>
    <mergeCell ref="AJ200:AJ202"/>
    <mergeCell ref="AK200:AK202"/>
    <mergeCell ref="AL200:AL202"/>
    <mergeCell ref="AM200:AM202"/>
    <mergeCell ref="AN200:AN202"/>
    <mergeCell ref="AO200:AO202"/>
    <mergeCell ref="AP200:AP202"/>
    <mergeCell ref="AJ203:AJ205"/>
    <mergeCell ref="AK203:AK205"/>
    <mergeCell ref="AL203:AL205"/>
    <mergeCell ref="AM203:AM205"/>
    <mergeCell ref="AN203:AN205"/>
    <mergeCell ref="AO203:AO205"/>
    <mergeCell ref="AP203:AP205"/>
    <mergeCell ref="AJ206:AJ208"/>
    <mergeCell ref="AK206:AK208"/>
    <mergeCell ref="AL206:AL208"/>
    <mergeCell ref="AM206:AM208"/>
    <mergeCell ref="AN206:AN208"/>
    <mergeCell ref="AO206:AO208"/>
    <mergeCell ref="AP206:AP208"/>
    <mergeCell ref="AJ209:AJ211"/>
    <mergeCell ref="AK209:AK211"/>
    <mergeCell ref="AL209:AL211"/>
    <mergeCell ref="AM209:AM211"/>
    <mergeCell ref="AN209:AN211"/>
    <mergeCell ref="AO209:AO211"/>
    <mergeCell ref="AP209:AP211"/>
    <mergeCell ref="AJ212:AJ214"/>
    <mergeCell ref="AK212:AK214"/>
    <mergeCell ref="AL212:AL214"/>
    <mergeCell ref="AM212:AM214"/>
    <mergeCell ref="AN212:AN214"/>
    <mergeCell ref="AO212:AO214"/>
    <mergeCell ref="AP212:AP214"/>
    <mergeCell ref="AJ215:AJ217"/>
    <mergeCell ref="AK215:AK217"/>
    <mergeCell ref="AL215:AL217"/>
    <mergeCell ref="AM215:AM217"/>
    <mergeCell ref="AN215:AN217"/>
    <mergeCell ref="AO215:AO217"/>
    <mergeCell ref="AP215:AP217"/>
    <mergeCell ref="AJ218:AJ220"/>
    <mergeCell ref="AK218:AK220"/>
    <mergeCell ref="AL218:AL220"/>
    <mergeCell ref="AM218:AM220"/>
    <mergeCell ref="AN218:AN220"/>
    <mergeCell ref="AO218:AO220"/>
    <mergeCell ref="AP218:AP220"/>
    <mergeCell ref="AL230:AL232"/>
    <mergeCell ref="AM230:AM232"/>
    <mergeCell ref="AN230:AN232"/>
    <mergeCell ref="AO230:AO232"/>
    <mergeCell ref="AP230:AP232"/>
    <mergeCell ref="AJ221:AJ223"/>
    <mergeCell ref="AK221:AK223"/>
    <mergeCell ref="AL221:AL223"/>
    <mergeCell ref="AM221:AM223"/>
    <mergeCell ref="AN221:AN223"/>
    <mergeCell ref="AO221:AO223"/>
    <mergeCell ref="AP221:AP223"/>
    <mergeCell ref="AJ224:AJ226"/>
    <mergeCell ref="AK224:AK226"/>
    <mergeCell ref="AL224:AL226"/>
    <mergeCell ref="AM224:AM226"/>
    <mergeCell ref="AN224:AN226"/>
    <mergeCell ref="AO224:AO226"/>
    <mergeCell ref="AP224:AP226"/>
    <mergeCell ref="AP227:AP229"/>
    <mergeCell ref="AJ230:AJ232"/>
    <mergeCell ref="AK230:AK232"/>
    <mergeCell ref="A152:A154"/>
    <mergeCell ref="B152:B154"/>
    <mergeCell ref="C152:C154"/>
    <mergeCell ref="AJ152:AJ154"/>
    <mergeCell ref="AK152:AK154"/>
    <mergeCell ref="AL152:AL154"/>
    <mergeCell ref="A128:A130"/>
    <mergeCell ref="B128:B130"/>
    <mergeCell ref="C128:C130"/>
    <mergeCell ref="AJ128:AJ130"/>
    <mergeCell ref="AK128:AK130"/>
    <mergeCell ref="AL128:AL130"/>
    <mergeCell ref="C131:C133"/>
    <mergeCell ref="C134:C136"/>
    <mergeCell ref="C137:C139"/>
    <mergeCell ref="C143:C145"/>
    <mergeCell ref="A149:A151"/>
    <mergeCell ref="B149:B151"/>
    <mergeCell ref="C149:C151"/>
    <mergeCell ref="AJ149:AJ151"/>
    <mergeCell ref="AK149:AK151"/>
    <mergeCell ref="AL149:AL151"/>
    <mergeCell ref="AM149:AM151"/>
    <mergeCell ref="AN149:AN151"/>
    <mergeCell ref="AO149:AO151"/>
    <mergeCell ref="AN146:AN148"/>
    <mergeCell ref="AO146:AO148"/>
    <mergeCell ref="AP146:AP148"/>
    <mergeCell ref="AP128:AP130"/>
    <mergeCell ref="AJ236:AJ238"/>
    <mergeCell ref="AK236:AK238"/>
    <mergeCell ref="AL236:AL238"/>
    <mergeCell ref="AM236:AM238"/>
    <mergeCell ref="AN236:AN238"/>
    <mergeCell ref="AO236:AO238"/>
    <mergeCell ref="AP236:AP238"/>
    <mergeCell ref="AP149:AP151"/>
    <mergeCell ref="AM128:AM130"/>
    <mergeCell ref="AN128:AN130"/>
    <mergeCell ref="AO128:AO130"/>
    <mergeCell ref="AJ227:AJ229"/>
    <mergeCell ref="AK227:AK229"/>
    <mergeCell ref="AL227:AL229"/>
    <mergeCell ref="AM227:AM229"/>
    <mergeCell ref="AN227:AN229"/>
    <mergeCell ref="AO227:AO229"/>
    <mergeCell ref="A158:A160"/>
    <mergeCell ref="B158:B160"/>
    <mergeCell ref="C158:C160"/>
    <mergeCell ref="AP140:AP142"/>
    <mergeCell ref="A140:A142"/>
    <mergeCell ref="B140:B142"/>
    <mergeCell ref="C140:C142"/>
    <mergeCell ref="AJ140:AJ142"/>
    <mergeCell ref="AK140:AK142"/>
    <mergeCell ref="AL140:AL142"/>
    <mergeCell ref="AM140:AM142"/>
    <mergeCell ref="AN140:AN142"/>
    <mergeCell ref="AO140:AO142"/>
    <mergeCell ref="AM152:AM154"/>
    <mergeCell ref="AN152:AN154"/>
    <mergeCell ref="AO152:AO154"/>
    <mergeCell ref="AP152:AP154"/>
    <mergeCell ref="A146:A148"/>
    <mergeCell ref="B146:B148"/>
    <mergeCell ref="C146:C148"/>
    <mergeCell ref="AJ146:AJ148"/>
    <mergeCell ref="AK146:AK148"/>
    <mergeCell ref="AL146:AL148"/>
    <mergeCell ref="AM146:AM1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8B5B-4924-4808-B04A-92FDEF6899C2}">
  <dimension ref="A1:AP241"/>
  <sheetViews>
    <sheetView zoomScale="116" zoomScaleNormal="100" workbookViewId="0">
      <pane xSplit="3" ySplit="4" topLeftCell="D5" activePane="bottomRight" state="frozen"/>
      <selection pane="topRight"/>
      <selection pane="bottomLeft"/>
      <selection pane="bottomRight" activeCell="C5" sqref="C5:C7"/>
    </sheetView>
  </sheetViews>
  <sheetFormatPr baseColWidth="10" defaultColWidth="9" defaultRowHeight="15"/>
  <cols>
    <col min="1" max="1" width="6.83203125" style="16" customWidth="1"/>
    <col min="2" max="2" width="18.33203125" style="16" customWidth="1"/>
    <col min="3" max="3" width="8.33203125" style="16" customWidth="1"/>
    <col min="4" max="4" width="6.6640625" style="16" customWidth="1"/>
    <col min="5" max="35" width="4.1640625" style="16" customWidth="1"/>
    <col min="36" max="36" width="8.83203125" style="16" customWidth="1"/>
    <col min="37" max="37" width="7.83203125" style="17" customWidth="1"/>
    <col min="38" max="38" width="13.83203125" style="18" customWidth="1"/>
    <col min="39" max="39" width="13.5" style="18" customWidth="1"/>
    <col min="40" max="40" width="17.33203125" style="18" customWidth="1"/>
    <col min="41" max="41" width="16.1640625" style="18" customWidth="1"/>
    <col min="42" max="42" width="20.5" style="18" customWidth="1"/>
  </cols>
  <sheetData>
    <row r="1" spans="1:42" ht="2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1"/>
      <c r="W1" s="1"/>
      <c r="X1" s="1"/>
      <c r="Y1" s="2" t="s">
        <v>1</v>
      </c>
      <c r="Z1" s="3"/>
      <c r="AA1" s="3"/>
      <c r="AB1" s="3"/>
      <c r="AC1" s="2" t="s">
        <v>2</v>
      </c>
      <c r="AD1" s="3"/>
      <c r="AE1" s="1"/>
      <c r="AF1" s="4"/>
      <c r="AG1" s="4"/>
      <c r="AH1" s="4"/>
      <c r="AI1" s="4"/>
      <c r="AJ1" s="4"/>
      <c r="AK1" s="5"/>
      <c r="AL1" s="6"/>
      <c r="AM1" s="6"/>
      <c r="AN1" s="6"/>
      <c r="AO1" s="6"/>
      <c r="AP1" s="6"/>
    </row>
    <row r="2" spans="1:42" ht="21">
      <c r="A2" s="72" t="s">
        <v>85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"/>
      <c r="W2" s="1"/>
      <c r="X2" s="1"/>
      <c r="Y2" s="2" t="s">
        <v>4</v>
      </c>
      <c r="Z2" s="3"/>
      <c r="AA2" s="3"/>
      <c r="AB2" s="3"/>
      <c r="AC2" s="2" t="s">
        <v>86</v>
      </c>
      <c r="AD2" s="3"/>
      <c r="AE2" s="1"/>
      <c r="AF2" s="4"/>
      <c r="AG2" s="4"/>
      <c r="AH2" s="4"/>
      <c r="AI2" s="4"/>
      <c r="AJ2" s="4"/>
      <c r="AK2" s="5"/>
      <c r="AL2" s="6"/>
      <c r="AM2" s="6"/>
      <c r="AN2" s="6"/>
      <c r="AO2" s="6"/>
      <c r="AP2" s="6"/>
    </row>
    <row r="3" spans="1:42">
      <c r="A3" s="52" t="s">
        <v>5</v>
      </c>
      <c r="B3" s="52" t="s">
        <v>6</v>
      </c>
      <c r="C3" s="69" t="s">
        <v>7</v>
      </c>
      <c r="D3" s="69" t="s">
        <v>8</v>
      </c>
      <c r="E3" s="74" t="s">
        <v>9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69" t="s">
        <v>10</v>
      </c>
      <c r="AK3" s="52" t="s">
        <v>11</v>
      </c>
      <c r="AL3" s="50" t="s">
        <v>12</v>
      </c>
      <c r="AM3" s="50" t="s">
        <v>13</v>
      </c>
      <c r="AN3" s="50" t="s">
        <v>14</v>
      </c>
      <c r="AO3" s="50" t="s">
        <v>11</v>
      </c>
      <c r="AP3" s="50" t="s">
        <v>15</v>
      </c>
    </row>
    <row r="4" spans="1:42">
      <c r="A4" s="53"/>
      <c r="B4" s="53"/>
      <c r="C4" s="70"/>
      <c r="D4" s="70"/>
      <c r="E4" s="8">
        <v>1</v>
      </c>
      <c r="F4" s="8">
        <v>2</v>
      </c>
      <c r="G4" s="8">
        <v>3</v>
      </c>
      <c r="H4" s="8">
        <v>4</v>
      </c>
      <c r="I4" s="8">
        <v>5</v>
      </c>
      <c r="J4" s="8">
        <v>6</v>
      </c>
      <c r="K4" s="8">
        <v>7</v>
      </c>
      <c r="L4" s="8">
        <v>8</v>
      </c>
      <c r="M4" s="8">
        <v>9</v>
      </c>
      <c r="N4" s="8">
        <v>10</v>
      </c>
      <c r="O4" s="8">
        <v>11</v>
      </c>
      <c r="P4" s="8">
        <v>12</v>
      </c>
      <c r="Q4" s="8">
        <v>13</v>
      </c>
      <c r="R4" s="8">
        <v>14</v>
      </c>
      <c r="S4" s="8">
        <v>15</v>
      </c>
      <c r="T4" s="8">
        <v>16</v>
      </c>
      <c r="U4" s="8">
        <v>17</v>
      </c>
      <c r="V4" s="8">
        <v>18</v>
      </c>
      <c r="W4" s="8">
        <v>19</v>
      </c>
      <c r="X4" s="8">
        <v>20</v>
      </c>
      <c r="Y4" s="8">
        <v>21</v>
      </c>
      <c r="Z4" s="8">
        <v>22</v>
      </c>
      <c r="AA4" s="8">
        <v>23</v>
      </c>
      <c r="AB4" s="8">
        <v>24</v>
      </c>
      <c r="AC4" s="8">
        <v>25</v>
      </c>
      <c r="AD4" s="8">
        <v>26</v>
      </c>
      <c r="AE4" s="8">
        <v>27</v>
      </c>
      <c r="AF4" s="8">
        <v>28</v>
      </c>
      <c r="AG4" s="8">
        <v>29</v>
      </c>
      <c r="AH4" s="8">
        <v>30</v>
      </c>
      <c r="AI4" s="8">
        <v>31</v>
      </c>
      <c r="AJ4" s="70"/>
      <c r="AK4" s="53"/>
      <c r="AL4" s="51"/>
      <c r="AM4" s="51"/>
      <c r="AN4" s="51"/>
      <c r="AO4" s="51"/>
      <c r="AP4" s="51"/>
    </row>
    <row r="5" spans="1:42">
      <c r="A5" s="39">
        <v>1</v>
      </c>
      <c r="B5" s="39" t="s">
        <v>101</v>
      </c>
      <c r="C5" s="42"/>
      <c r="D5" s="10" t="s">
        <v>18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39">
        <f>COUNTIFS(E5:AI6,"✓")/2</f>
        <v>0</v>
      </c>
      <c r="AK5" s="39">
        <f>SUM(O7:AG7)</f>
        <v>0</v>
      </c>
      <c r="AL5" s="44">
        <v>300000</v>
      </c>
      <c r="AM5" s="44">
        <v>30000</v>
      </c>
      <c r="AN5" s="44">
        <f>AL5*AJ5</f>
        <v>0</v>
      </c>
      <c r="AO5" s="44">
        <f>AM5*AK5</f>
        <v>0</v>
      </c>
      <c r="AP5" s="44">
        <f>AL5*AJ5+AM5*AK5</f>
        <v>0</v>
      </c>
    </row>
    <row r="6" spans="1:42">
      <c r="A6" s="40"/>
      <c r="B6" s="40"/>
      <c r="C6" s="43"/>
      <c r="D6" s="10" t="s">
        <v>20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40"/>
      <c r="AK6" s="40"/>
      <c r="AL6" s="45"/>
      <c r="AM6" s="45"/>
      <c r="AN6" s="45"/>
      <c r="AO6" s="45"/>
      <c r="AP6" s="45"/>
    </row>
    <row r="7" spans="1:42">
      <c r="A7" s="40"/>
      <c r="B7" s="40"/>
      <c r="C7" s="43"/>
      <c r="D7" s="12" t="s">
        <v>21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40"/>
      <c r="AK7" s="40"/>
      <c r="AL7" s="46"/>
      <c r="AM7" s="46"/>
      <c r="AN7" s="46"/>
      <c r="AO7" s="46"/>
      <c r="AP7" s="46"/>
    </row>
    <row r="8" spans="1:42">
      <c r="A8" s="39">
        <f>A5+1</f>
        <v>2</v>
      </c>
      <c r="B8" s="39" t="s">
        <v>53</v>
      </c>
      <c r="C8" s="42" t="s">
        <v>24</v>
      </c>
      <c r="D8" s="10" t="s">
        <v>18</v>
      </c>
      <c r="E8" s="11"/>
      <c r="F8" s="11"/>
      <c r="G8" s="11"/>
      <c r="H8" s="11"/>
      <c r="I8" s="11"/>
      <c r="J8" s="11"/>
      <c r="K8" s="11"/>
      <c r="L8" s="11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39">
        <f>COUNTIFS(E8:AI9,"✓")/2</f>
        <v>0</v>
      </c>
      <c r="AK8" s="39">
        <f>SUM(O10:AG10)</f>
        <v>0</v>
      </c>
      <c r="AL8" s="44">
        <v>300000</v>
      </c>
      <c r="AM8" s="44">
        <v>30000</v>
      </c>
      <c r="AN8" s="44">
        <f>AL8*AJ8</f>
        <v>0</v>
      </c>
      <c r="AO8" s="44">
        <f>AM8*AK8</f>
        <v>0</v>
      </c>
      <c r="AP8" s="44">
        <f t="shared" ref="AP8" si="0">AL8*AJ8+AM8*AK8</f>
        <v>0</v>
      </c>
    </row>
    <row r="9" spans="1:42">
      <c r="A9" s="40"/>
      <c r="B9" s="40"/>
      <c r="C9" s="43"/>
      <c r="D9" s="10" t="s">
        <v>20</v>
      </c>
      <c r="E9" s="11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40"/>
      <c r="AK9" s="40"/>
      <c r="AL9" s="45"/>
      <c r="AM9" s="45"/>
      <c r="AN9" s="45"/>
      <c r="AO9" s="45"/>
      <c r="AP9" s="45"/>
    </row>
    <row r="10" spans="1:42">
      <c r="A10" s="40"/>
      <c r="B10" s="40"/>
      <c r="C10" s="43"/>
      <c r="D10" s="12" t="s">
        <v>21</v>
      </c>
      <c r="E10" s="11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40"/>
      <c r="AK10" s="40"/>
      <c r="AL10" s="46"/>
      <c r="AM10" s="46"/>
      <c r="AN10" s="46"/>
      <c r="AO10" s="46"/>
      <c r="AP10" s="46"/>
    </row>
    <row r="11" spans="1:42">
      <c r="A11" s="39">
        <f>A8+1</f>
        <v>3</v>
      </c>
      <c r="B11" s="39" t="s">
        <v>51</v>
      </c>
      <c r="C11" s="42" t="s">
        <v>24</v>
      </c>
      <c r="D11" s="10" t="s">
        <v>18</v>
      </c>
      <c r="E11" s="11"/>
      <c r="F11" s="11"/>
      <c r="G11" s="11"/>
      <c r="H11" s="11"/>
      <c r="I11" s="11"/>
      <c r="J11" s="11"/>
      <c r="K11" s="11"/>
      <c r="L11" s="11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39">
        <f>COUNTIFS(E11:AI12,"✓")/2</f>
        <v>0</v>
      </c>
      <c r="AK11" s="39">
        <f t="shared" ref="AK11" si="1">SUM(O13:AG13)</f>
        <v>0</v>
      </c>
      <c r="AL11" s="44">
        <v>300000</v>
      </c>
      <c r="AM11" s="44">
        <v>30000</v>
      </c>
      <c r="AN11" s="44">
        <f>AL11*AJ11</f>
        <v>0</v>
      </c>
      <c r="AO11" s="44">
        <f>AM11*AK11</f>
        <v>0</v>
      </c>
      <c r="AP11" s="44">
        <f t="shared" ref="AP11" si="2">AL11*AJ11+AM11*AK11</f>
        <v>0</v>
      </c>
    </row>
    <row r="12" spans="1:42">
      <c r="A12" s="40"/>
      <c r="B12" s="40"/>
      <c r="C12" s="43"/>
      <c r="D12" s="10" t="s">
        <v>20</v>
      </c>
      <c r="E12" s="11"/>
      <c r="F12" s="11"/>
      <c r="G12" s="11"/>
      <c r="H12" s="11"/>
      <c r="I12" s="11"/>
      <c r="J12" s="11"/>
      <c r="K12" s="11"/>
      <c r="L12" s="11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40"/>
      <c r="AK12" s="40"/>
      <c r="AL12" s="45"/>
      <c r="AM12" s="45"/>
      <c r="AN12" s="45"/>
      <c r="AO12" s="45"/>
      <c r="AP12" s="45"/>
    </row>
    <row r="13" spans="1:42">
      <c r="A13" s="40"/>
      <c r="B13" s="40"/>
      <c r="C13" s="43"/>
      <c r="D13" s="12" t="s">
        <v>21</v>
      </c>
      <c r="E13" s="11"/>
      <c r="F13" s="11"/>
      <c r="G13" s="11"/>
      <c r="H13" s="11"/>
      <c r="I13" s="11"/>
      <c r="J13" s="11"/>
      <c r="K13" s="11"/>
      <c r="L13" s="11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40"/>
      <c r="AK13" s="40"/>
      <c r="AL13" s="46"/>
      <c r="AM13" s="46"/>
      <c r="AN13" s="46"/>
      <c r="AO13" s="46"/>
      <c r="AP13" s="46"/>
    </row>
    <row r="14" spans="1:42">
      <c r="A14" s="39">
        <f>A11+1</f>
        <v>4</v>
      </c>
      <c r="B14" s="39" t="s">
        <v>102</v>
      </c>
      <c r="C14" s="42" t="s">
        <v>24</v>
      </c>
      <c r="D14" s="10" t="s">
        <v>18</v>
      </c>
      <c r="E14" s="11"/>
      <c r="F14" s="11"/>
      <c r="G14" s="11"/>
      <c r="H14" s="11"/>
      <c r="I14" s="11"/>
      <c r="J14" s="11"/>
      <c r="K14" s="11"/>
      <c r="L14" s="11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39">
        <f>COUNTIFS(E14:AI15,"✓")/2</f>
        <v>0</v>
      </c>
      <c r="AK14" s="39">
        <f t="shared" ref="AK14" si="3">SUM(O16:AG16)</f>
        <v>0</v>
      </c>
      <c r="AL14" s="44">
        <v>300000</v>
      </c>
      <c r="AM14" s="44">
        <v>30000</v>
      </c>
      <c r="AN14" s="44">
        <f>AL14*AJ14</f>
        <v>0</v>
      </c>
      <c r="AO14" s="44">
        <f>AM14*AK14</f>
        <v>0</v>
      </c>
      <c r="AP14" s="44">
        <f t="shared" ref="AP14" si="4">AL14*AJ14+AM14*AK14</f>
        <v>0</v>
      </c>
    </row>
    <row r="15" spans="1:42">
      <c r="A15" s="40"/>
      <c r="B15" s="40"/>
      <c r="C15" s="43"/>
      <c r="D15" s="10" t="s">
        <v>20</v>
      </c>
      <c r="E15" s="11"/>
      <c r="F15" s="11"/>
      <c r="G15" s="11"/>
      <c r="H15" s="11"/>
      <c r="I15" s="11"/>
      <c r="J15" s="11"/>
      <c r="K15" s="11"/>
      <c r="L15" s="11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40"/>
      <c r="AK15" s="40"/>
      <c r="AL15" s="45"/>
      <c r="AM15" s="45"/>
      <c r="AN15" s="45"/>
      <c r="AO15" s="45"/>
      <c r="AP15" s="45"/>
    </row>
    <row r="16" spans="1:42">
      <c r="A16" s="40"/>
      <c r="B16" s="40"/>
      <c r="C16" s="43"/>
      <c r="D16" s="12" t="s">
        <v>21</v>
      </c>
      <c r="E16" s="11"/>
      <c r="F16" s="11"/>
      <c r="G16" s="11"/>
      <c r="H16" s="11"/>
      <c r="I16" s="11"/>
      <c r="J16" s="11"/>
      <c r="K16" s="11"/>
      <c r="L16" s="11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40"/>
      <c r="AK16" s="40"/>
      <c r="AL16" s="46"/>
      <c r="AM16" s="46"/>
      <c r="AN16" s="46"/>
      <c r="AO16" s="46"/>
      <c r="AP16" s="46"/>
    </row>
    <row r="17" spans="1:42">
      <c r="A17" s="39">
        <f>A14+1</f>
        <v>5</v>
      </c>
      <c r="B17" s="39" t="s">
        <v>54</v>
      </c>
      <c r="C17" s="42" t="s">
        <v>24</v>
      </c>
      <c r="D17" s="10" t="s">
        <v>18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39">
        <f>COUNTIFS(E17:AI18,"✓")/2</f>
        <v>0</v>
      </c>
      <c r="AK17" s="39">
        <f t="shared" ref="AK17" si="5">SUM(O19:AG19)</f>
        <v>0</v>
      </c>
      <c r="AL17" s="44">
        <v>350000</v>
      </c>
      <c r="AM17" s="44">
        <v>25000</v>
      </c>
      <c r="AN17" s="44">
        <f>AL17*AJ17</f>
        <v>0</v>
      </c>
      <c r="AO17" s="44">
        <f>AM17*AK17</f>
        <v>0</v>
      </c>
      <c r="AP17" s="44">
        <f t="shared" ref="AP17" si="6">AL17*AJ17+AM17*AK17</f>
        <v>0</v>
      </c>
    </row>
    <row r="18" spans="1:42">
      <c r="A18" s="40"/>
      <c r="B18" s="40"/>
      <c r="C18" s="43"/>
      <c r="D18" s="10" t="s">
        <v>20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40"/>
      <c r="AK18" s="40"/>
      <c r="AL18" s="45"/>
      <c r="AM18" s="45"/>
      <c r="AN18" s="45"/>
      <c r="AO18" s="45"/>
      <c r="AP18" s="45"/>
    </row>
    <row r="19" spans="1:42">
      <c r="A19" s="40"/>
      <c r="B19" s="40"/>
      <c r="C19" s="43"/>
      <c r="D19" s="12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40"/>
      <c r="AK19" s="40"/>
      <c r="AL19" s="46"/>
      <c r="AM19" s="46"/>
      <c r="AN19" s="46"/>
      <c r="AO19" s="46"/>
      <c r="AP19" s="46"/>
    </row>
    <row r="20" spans="1:42">
      <c r="A20" s="39">
        <f>A17+1</f>
        <v>6</v>
      </c>
      <c r="B20" s="39" t="s">
        <v>103</v>
      </c>
      <c r="C20" s="42" t="s">
        <v>17</v>
      </c>
      <c r="D20" s="10" t="s">
        <v>18</v>
      </c>
      <c r="E20" s="11"/>
      <c r="F20" s="11"/>
      <c r="G20" s="11"/>
      <c r="H20" s="11"/>
      <c r="I20" s="11"/>
      <c r="J20" s="11"/>
      <c r="K20" s="11"/>
      <c r="L20" s="11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39">
        <f>COUNTIFS(E20:AI21,"✓")/2</f>
        <v>0</v>
      </c>
      <c r="AK20" s="39">
        <f t="shared" ref="AK20" si="7">SUM(O22:AG22)</f>
        <v>0</v>
      </c>
      <c r="AL20" s="44">
        <v>230000</v>
      </c>
      <c r="AM20" s="44">
        <v>25000</v>
      </c>
      <c r="AN20" s="44">
        <f>AL20*AJ20</f>
        <v>0</v>
      </c>
      <c r="AO20" s="44">
        <f>AM20*AK20</f>
        <v>0</v>
      </c>
      <c r="AP20" s="44">
        <f t="shared" ref="AP20" si="8">AL20*AJ20+AM20*AK20</f>
        <v>0</v>
      </c>
    </row>
    <row r="21" spans="1:42">
      <c r="A21" s="40"/>
      <c r="B21" s="40"/>
      <c r="C21" s="43"/>
      <c r="D21" s="10" t="s">
        <v>20</v>
      </c>
      <c r="E21" s="11"/>
      <c r="F21" s="11"/>
      <c r="G21" s="11"/>
      <c r="H21" s="11"/>
      <c r="I21" s="11"/>
      <c r="J21" s="11"/>
      <c r="K21" s="11"/>
      <c r="L21" s="11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40"/>
      <c r="AK21" s="40"/>
      <c r="AL21" s="45"/>
      <c r="AM21" s="45"/>
      <c r="AN21" s="45"/>
      <c r="AO21" s="45"/>
      <c r="AP21" s="45"/>
    </row>
    <row r="22" spans="1:42">
      <c r="A22" s="40"/>
      <c r="B22" s="40"/>
      <c r="C22" s="43"/>
      <c r="D22" s="12" t="s">
        <v>21</v>
      </c>
      <c r="E22" s="11"/>
      <c r="F22" s="11"/>
      <c r="G22" s="11"/>
      <c r="H22" s="11"/>
      <c r="I22" s="11"/>
      <c r="J22" s="11"/>
      <c r="K22" s="11"/>
      <c r="L22" s="11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40"/>
      <c r="AK22" s="40"/>
      <c r="AL22" s="46"/>
      <c r="AM22" s="46"/>
      <c r="AN22" s="46"/>
      <c r="AO22" s="46"/>
      <c r="AP22" s="46"/>
    </row>
    <row r="23" spans="1:42">
      <c r="A23" s="39">
        <f>A20+1</f>
        <v>7</v>
      </c>
      <c r="B23" s="39" t="s">
        <v>104</v>
      </c>
      <c r="C23" s="42" t="s">
        <v>17</v>
      </c>
      <c r="D23" s="10" t="s">
        <v>18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0"/>
      <c r="P23" s="11"/>
      <c r="Q23" s="11"/>
      <c r="R23" s="10"/>
      <c r="S23" s="11"/>
      <c r="T23" s="11"/>
      <c r="U23" s="10"/>
      <c r="V23" s="11"/>
      <c r="W23" s="11"/>
      <c r="X23" s="10"/>
      <c r="Y23" s="11"/>
      <c r="Z23" s="11"/>
      <c r="AA23" s="10"/>
      <c r="AB23" s="11"/>
      <c r="AC23" s="11"/>
      <c r="AD23" s="10"/>
      <c r="AE23" s="11"/>
      <c r="AF23" s="11"/>
      <c r="AG23" s="10"/>
      <c r="AH23" s="11"/>
      <c r="AI23" s="11"/>
      <c r="AJ23" s="39">
        <f>COUNTIFS(E23:AI24,"✓")/2</f>
        <v>0</v>
      </c>
      <c r="AK23" s="39">
        <f t="shared" ref="AK23" si="9">SUM(O25:AG25)</f>
        <v>0</v>
      </c>
      <c r="AL23" s="44">
        <v>230000</v>
      </c>
      <c r="AM23" s="44">
        <v>25000</v>
      </c>
      <c r="AN23" s="44">
        <f>AL23*AJ23</f>
        <v>0</v>
      </c>
      <c r="AO23" s="44">
        <f>AM23*AK23</f>
        <v>0</v>
      </c>
      <c r="AP23" s="44">
        <f t="shared" ref="AP23" si="10">AL23*AJ23+AM23*AK23</f>
        <v>0</v>
      </c>
    </row>
    <row r="24" spans="1:42">
      <c r="A24" s="40"/>
      <c r="B24" s="40"/>
      <c r="C24" s="43"/>
      <c r="D24" s="10" t="s">
        <v>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0"/>
      <c r="P24" s="11"/>
      <c r="Q24" s="11"/>
      <c r="R24" s="10"/>
      <c r="S24" s="11"/>
      <c r="T24" s="11"/>
      <c r="U24" s="10"/>
      <c r="V24" s="11"/>
      <c r="W24" s="11"/>
      <c r="X24" s="10"/>
      <c r="Y24" s="11"/>
      <c r="Z24" s="11"/>
      <c r="AA24" s="10"/>
      <c r="AB24" s="11"/>
      <c r="AC24" s="11"/>
      <c r="AD24" s="10"/>
      <c r="AE24" s="11"/>
      <c r="AF24" s="11"/>
      <c r="AG24" s="10"/>
      <c r="AH24" s="11"/>
      <c r="AI24" s="11"/>
      <c r="AJ24" s="40"/>
      <c r="AK24" s="40"/>
      <c r="AL24" s="45"/>
      <c r="AM24" s="45"/>
      <c r="AN24" s="45"/>
      <c r="AO24" s="45"/>
      <c r="AP24" s="45"/>
    </row>
    <row r="25" spans="1:42">
      <c r="A25" s="40"/>
      <c r="B25" s="40"/>
      <c r="C25" s="43"/>
      <c r="D25" s="12" t="s">
        <v>21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  <c r="P25" s="11"/>
      <c r="Q25" s="11"/>
      <c r="R25" s="10"/>
      <c r="S25" s="11"/>
      <c r="T25" s="11"/>
      <c r="U25" s="10"/>
      <c r="V25" s="11"/>
      <c r="W25" s="11"/>
      <c r="X25" s="10"/>
      <c r="Y25" s="11"/>
      <c r="Z25" s="11"/>
      <c r="AA25" s="10"/>
      <c r="AB25" s="11"/>
      <c r="AC25" s="11"/>
      <c r="AD25" s="10"/>
      <c r="AE25" s="11"/>
      <c r="AF25" s="11"/>
      <c r="AG25" s="10"/>
      <c r="AH25" s="11"/>
      <c r="AI25" s="11"/>
      <c r="AJ25" s="40"/>
      <c r="AK25" s="40"/>
      <c r="AL25" s="46"/>
      <c r="AM25" s="46"/>
      <c r="AN25" s="46"/>
      <c r="AO25" s="46"/>
      <c r="AP25" s="46"/>
    </row>
    <row r="26" spans="1:42">
      <c r="A26" s="39">
        <f>A23+1</f>
        <v>8</v>
      </c>
      <c r="B26" s="39" t="s">
        <v>105</v>
      </c>
      <c r="C26" s="42" t="s">
        <v>17</v>
      </c>
      <c r="D26" s="10" t="s">
        <v>18</v>
      </c>
      <c r="E26" s="11"/>
      <c r="F26" s="11"/>
      <c r="G26" s="11"/>
      <c r="H26" s="11"/>
      <c r="I26" s="11"/>
      <c r="J26" s="11"/>
      <c r="K26" s="11"/>
      <c r="L26" s="11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39">
        <f>COUNTIFS(E26:AI27,"✓")/2</f>
        <v>0</v>
      </c>
      <c r="AK26" s="39">
        <f>SUM(O28:AG28,AH28)</f>
        <v>0</v>
      </c>
      <c r="AL26" s="44">
        <v>230000</v>
      </c>
      <c r="AM26" s="44">
        <v>25000</v>
      </c>
      <c r="AN26" s="44">
        <f>AL26*AJ26</f>
        <v>0</v>
      </c>
      <c r="AO26" s="44">
        <f>AM26*AK26</f>
        <v>0</v>
      </c>
      <c r="AP26" s="44">
        <f t="shared" ref="AP26" si="11">AL26*AJ26+AM26*AK26</f>
        <v>0</v>
      </c>
    </row>
    <row r="27" spans="1:42">
      <c r="A27" s="40"/>
      <c r="B27" s="40"/>
      <c r="C27" s="43"/>
      <c r="D27" s="10" t="s">
        <v>20</v>
      </c>
      <c r="E27" s="11"/>
      <c r="F27" s="11"/>
      <c r="G27" s="11"/>
      <c r="H27" s="11"/>
      <c r="I27" s="11"/>
      <c r="J27" s="11"/>
      <c r="K27" s="11"/>
      <c r="L27" s="11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40"/>
      <c r="AK27" s="40"/>
      <c r="AL27" s="45"/>
      <c r="AM27" s="45"/>
      <c r="AN27" s="45"/>
      <c r="AO27" s="45"/>
      <c r="AP27" s="45"/>
    </row>
    <row r="28" spans="1:42">
      <c r="A28" s="40"/>
      <c r="B28" s="40"/>
      <c r="C28" s="43"/>
      <c r="D28" s="12" t="s">
        <v>21</v>
      </c>
      <c r="E28" s="11"/>
      <c r="F28" s="11"/>
      <c r="G28" s="11"/>
      <c r="H28" s="11"/>
      <c r="I28" s="11"/>
      <c r="J28" s="11"/>
      <c r="K28" s="11"/>
      <c r="L28" s="11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40"/>
      <c r="AK28" s="40"/>
      <c r="AL28" s="46"/>
      <c r="AM28" s="46"/>
      <c r="AN28" s="46"/>
      <c r="AO28" s="46"/>
      <c r="AP28" s="46"/>
    </row>
    <row r="29" spans="1:42">
      <c r="A29" s="39">
        <f>A26+1</f>
        <v>9</v>
      </c>
      <c r="B29" s="39" t="s">
        <v>57</v>
      </c>
      <c r="C29" s="42" t="s">
        <v>24</v>
      </c>
      <c r="D29" s="10" t="s">
        <v>18</v>
      </c>
      <c r="E29" s="11"/>
      <c r="F29" s="11"/>
      <c r="G29" s="11"/>
      <c r="H29" s="11"/>
      <c r="I29" s="11"/>
      <c r="J29" s="11"/>
      <c r="K29" s="11"/>
      <c r="L29" s="11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39">
        <f>COUNTIFS(E29:AI30,"✓")/2</f>
        <v>0</v>
      </c>
      <c r="AK29" s="39">
        <f t="shared" ref="AK29" si="12">SUM(O31:AG31)</f>
        <v>0</v>
      </c>
      <c r="AL29" s="44">
        <v>230000</v>
      </c>
      <c r="AM29" s="44">
        <v>25000</v>
      </c>
      <c r="AN29" s="44">
        <f>AL29*AJ29</f>
        <v>0</v>
      </c>
      <c r="AO29" s="44">
        <f>AM29*AK29</f>
        <v>0</v>
      </c>
      <c r="AP29" s="44">
        <f t="shared" ref="AP29" si="13">AL29*AJ29+AM29*AK29</f>
        <v>0</v>
      </c>
    </row>
    <row r="30" spans="1:42">
      <c r="A30" s="40"/>
      <c r="B30" s="40"/>
      <c r="C30" s="43"/>
      <c r="D30" s="10" t="s">
        <v>20</v>
      </c>
      <c r="E30" s="11"/>
      <c r="F30" s="11"/>
      <c r="G30" s="11"/>
      <c r="H30" s="11"/>
      <c r="I30" s="11"/>
      <c r="J30" s="11"/>
      <c r="K30" s="11"/>
      <c r="L30" s="11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40"/>
      <c r="AK30" s="40"/>
      <c r="AL30" s="45"/>
      <c r="AM30" s="45"/>
      <c r="AN30" s="45"/>
      <c r="AO30" s="45"/>
      <c r="AP30" s="45"/>
    </row>
    <row r="31" spans="1:42">
      <c r="A31" s="40"/>
      <c r="B31" s="40"/>
      <c r="C31" s="43"/>
      <c r="D31" s="12" t="s">
        <v>21</v>
      </c>
      <c r="E31" s="11"/>
      <c r="F31" s="11"/>
      <c r="G31" s="11"/>
      <c r="H31" s="11"/>
      <c r="I31" s="11"/>
      <c r="J31" s="11"/>
      <c r="K31" s="11"/>
      <c r="L31" s="11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40"/>
      <c r="AK31" s="40"/>
      <c r="AL31" s="46"/>
      <c r="AM31" s="46"/>
      <c r="AN31" s="46"/>
      <c r="AO31" s="46"/>
      <c r="AP31" s="46"/>
    </row>
    <row r="32" spans="1:42">
      <c r="A32" s="39">
        <f>A29+1</f>
        <v>10</v>
      </c>
      <c r="B32" s="39" t="s">
        <v>56</v>
      </c>
      <c r="C32" s="42" t="s">
        <v>24</v>
      </c>
      <c r="D32" s="10" t="s">
        <v>18</v>
      </c>
      <c r="E32" s="11"/>
      <c r="F32" s="11"/>
      <c r="G32" s="11"/>
      <c r="H32" s="11"/>
      <c r="I32" s="11"/>
      <c r="J32" s="11"/>
      <c r="K32" s="11"/>
      <c r="L32" s="11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39">
        <f>COUNTIFS(E32:AI33,"✓")/2</f>
        <v>0</v>
      </c>
      <c r="AK32" s="39">
        <f t="shared" ref="AK32" si="14">SUM(O34:AG34)</f>
        <v>0</v>
      </c>
      <c r="AL32" s="44">
        <v>230000</v>
      </c>
      <c r="AM32" s="44">
        <v>25000</v>
      </c>
      <c r="AN32" s="44">
        <f>AL32*AJ32</f>
        <v>0</v>
      </c>
      <c r="AO32" s="44">
        <f>AM32*AK32</f>
        <v>0</v>
      </c>
      <c r="AP32" s="44">
        <f t="shared" ref="AP32" si="15">AL32*AJ32+AM32*AK32</f>
        <v>0</v>
      </c>
    </row>
    <row r="33" spans="1:42">
      <c r="A33" s="40"/>
      <c r="B33" s="40"/>
      <c r="C33" s="43"/>
      <c r="D33" s="10" t="s">
        <v>20</v>
      </c>
      <c r="E33" s="11"/>
      <c r="F33" s="11"/>
      <c r="G33" s="11"/>
      <c r="H33" s="11"/>
      <c r="I33" s="11"/>
      <c r="J33" s="11"/>
      <c r="K33" s="11"/>
      <c r="L33" s="11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40"/>
      <c r="AK33" s="40"/>
      <c r="AL33" s="45"/>
      <c r="AM33" s="45"/>
      <c r="AN33" s="45"/>
      <c r="AO33" s="45"/>
      <c r="AP33" s="45"/>
    </row>
    <row r="34" spans="1:42">
      <c r="A34" s="40"/>
      <c r="B34" s="40"/>
      <c r="C34" s="43"/>
      <c r="D34" s="12" t="s">
        <v>21</v>
      </c>
      <c r="E34" s="11"/>
      <c r="F34" s="11"/>
      <c r="G34" s="11"/>
      <c r="H34" s="11"/>
      <c r="I34" s="11"/>
      <c r="J34" s="11"/>
      <c r="K34" s="11"/>
      <c r="L34" s="11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40"/>
      <c r="AK34" s="40"/>
      <c r="AL34" s="46"/>
      <c r="AM34" s="46"/>
      <c r="AN34" s="46"/>
      <c r="AO34" s="46"/>
      <c r="AP34" s="46"/>
    </row>
    <row r="35" spans="1:42">
      <c r="A35" s="39">
        <f>A32+1</f>
        <v>11</v>
      </c>
      <c r="B35" s="39" t="s">
        <v>58</v>
      </c>
      <c r="C35" s="42" t="s">
        <v>24</v>
      </c>
      <c r="D35" s="10" t="s">
        <v>18</v>
      </c>
      <c r="E35" s="11"/>
      <c r="F35" s="11"/>
      <c r="G35" s="11"/>
      <c r="H35" s="11"/>
      <c r="I35" s="11"/>
      <c r="J35" s="11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39">
        <f>COUNTIFS(E35:AI36,"✓")/2</f>
        <v>0</v>
      </c>
      <c r="AK35" s="39">
        <f>SUM(O37:AG37,AH37)</f>
        <v>0</v>
      </c>
      <c r="AL35" s="44">
        <v>380000</v>
      </c>
      <c r="AM35" s="44">
        <v>40000</v>
      </c>
      <c r="AN35" s="44">
        <f>AL35*AJ35</f>
        <v>0</v>
      </c>
      <c r="AO35" s="44">
        <f>AM35*AK35</f>
        <v>0</v>
      </c>
      <c r="AP35" s="44">
        <f t="shared" ref="AP35" si="16">AL35*AJ35+AM35*AK35</f>
        <v>0</v>
      </c>
    </row>
    <row r="36" spans="1:42">
      <c r="A36" s="40"/>
      <c r="B36" s="40"/>
      <c r="C36" s="43"/>
      <c r="D36" s="10" t="s">
        <v>20</v>
      </c>
      <c r="E36" s="11"/>
      <c r="F36" s="11"/>
      <c r="G36" s="11"/>
      <c r="H36" s="11"/>
      <c r="I36" s="11"/>
      <c r="J36" s="11"/>
      <c r="K36" s="11"/>
      <c r="L36" s="11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40"/>
      <c r="AK36" s="40"/>
      <c r="AL36" s="45"/>
      <c r="AM36" s="45"/>
      <c r="AN36" s="45"/>
      <c r="AO36" s="45"/>
      <c r="AP36" s="45"/>
    </row>
    <row r="37" spans="1:42">
      <c r="A37" s="40"/>
      <c r="B37" s="40"/>
      <c r="C37" s="43"/>
      <c r="D37" s="12" t="s">
        <v>21</v>
      </c>
      <c r="E37" s="11"/>
      <c r="F37" s="11"/>
      <c r="G37" s="11"/>
      <c r="H37" s="11"/>
      <c r="I37" s="11"/>
      <c r="J37" s="11"/>
      <c r="K37" s="11"/>
      <c r="L37" s="11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40"/>
      <c r="AK37" s="40"/>
      <c r="AL37" s="46"/>
      <c r="AM37" s="46"/>
      <c r="AN37" s="46"/>
      <c r="AO37" s="46"/>
      <c r="AP37" s="46"/>
    </row>
    <row r="38" spans="1:42">
      <c r="A38" s="39">
        <f>A35+1</f>
        <v>12</v>
      </c>
      <c r="B38" s="39" t="s">
        <v>106</v>
      </c>
      <c r="C38" s="42" t="s">
        <v>24</v>
      </c>
      <c r="D38" s="10" t="s">
        <v>18</v>
      </c>
      <c r="E38" s="11"/>
      <c r="F38" s="11"/>
      <c r="G38" s="11"/>
      <c r="H38" s="11"/>
      <c r="I38" s="11"/>
      <c r="J38" s="11"/>
      <c r="K38" s="11"/>
      <c r="L38" s="11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39">
        <f>COUNTIFS(E38:AI39,"✓")/2</f>
        <v>0</v>
      </c>
      <c r="AK38" s="39">
        <f t="shared" ref="AK38" si="17">SUM(O40:AG40)</f>
        <v>0</v>
      </c>
      <c r="AL38" s="44">
        <v>230000</v>
      </c>
      <c r="AM38" s="44">
        <v>25000</v>
      </c>
      <c r="AN38" s="44">
        <f>AL38*AJ38</f>
        <v>0</v>
      </c>
      <c r="AO38" s="44">
        <f>AM38*AK38</f>
        <v>0</v>
      </c>
      <c r="AP38" s="44">
        <f t="shared" ref="AP38" si="18">AL38*AJ38+AM38*AK38</f>
        <v>0</v>
      </c>
    </row>
    <row r="39" spans="1:42">
      <c r="A39" s="40"/>
      <c r="B39" s="40"/>
      <c r="C39" s="43"/>
      <c r="D39" s="10" t="s">
        <v>20</v>
      </c>
      <c r="E39" s="11"/>
      <c r="F39" s="11"/>
      <c r="G39" s="11"/>
      <c r="H39" s="11"/>
      <c r="I39" s="11"/>
      <c r="J39" s="11"/>
      <c r="K39" s="11"/>
      <c r="L39" s="11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0"/>
      <c r="AK39" s="40"/>
      <c r="AL39" s="45"/>
      <c r="AM39" s="45"/>
      <c r="AN39" s="45"/>
      <c r="AO39" s="45"/>
      <c r="AP39" s="45"/>
    </row>
    <row r="40" spans="1:42">
      <c r="A40" s="40"/>
      <c r="B40" s="40"/>
      <c r="C40" s="43"/>
      <c r="D40" s="12" t="s">
        <v>21</v>
      </c>
      <c r="E40" s="11"/>
      <c r="F40" s="11"/>
      <c r="G40" s="11"/>
      <c r="H40" s="11"/>
      <c r="I40" s="11"/>
      <c r="J40" s="11"/>
      <c r="K40" s="11"/>
      <c r="L40" s="11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40"/>
      <c r="AK40" s="40"/>
      <c r="AL40" s="46"/>
      <c r="AM40" s="46"/>
      <c r="AN40" s="46"/>
      <c r="AO40" s="46"/>
      <c r="AP40" s="46"/>
    </row>
    <row r="41" spans="1:42">
      <c r="A41" s="39">
        <f>A38+1</f>
        <v>13</v>
      </c>
      <c r="B41" s="39"/>
      <c r="C41" s="42" t="s">
        <v>24</v>
      </c>
      <c r="D41" s="10" t="s">
        <v>18</v>
      </c>
      <c r="E41" s="11"/>
      <c r="F41" s="11"/>
      <c r="G41" s="11"/>
      <c r="H41" s="11"/>
      <c r="I41" s="11"/>
      <c r="J41" s="11"/>
      <c r="K41" s="11"/>
      <c r="L41" s="11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39">
        <f>COUNTIFS(E41:AI42,"✓")/2</f>
        <v>0</v>
      </c>
      <c r="AK41" s="39">
        <f t="shared" ref="AK41" si="19">SUM(O43:AG43)</f>
        <v>0</v>
      </c>
      <c r="AL41" s="44">
        <v>230000</v>
      </c>
      <c r="AM41" s="44">
        <v>25000</v>
      </c>
      <c r="AN41" s="44">
        <f>AL41*AJ41</f>
        <v>0</v>
      </c>
      <c r="AO41" s="44">
        <f>AM41*AK41</f>
        <v>0</v>
      </c>
      <c r="AP41" s="44">
        <f t="shared" ref="AP41" si="20">AL41*AJ41+AM41*AK41</f>
        <v>0</v>
      </c>
    </row>
    <row r="42" spans="1:42">
      <c r="A42" s="40"/>
      <c r="B42" s="40"/>
      <c r="C42" s="43"/>
      <c r="D42" s="10" t="s">
        <v>20</v>
      </c>
      <c r="E42" s="11"/>
      <c r="F42" s="11"/>
      <c r="G42" s="11"/>
      <c r="H42" s="11"/>
      <c r="I42" s="11"/>
      <c r="J42" s="11"/>
      <c r="K42" s="11"/>
      <c r="L42" s="11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40"/>
      <c r="AK42" s="40"/>
      <c r="AL42" s="45"/>
      <c r="AM42" s="45"/>
      <c r="AN42" s="45"/>
      <c r="AO42" s="45"/>
      <c r="AP42" s="45"/>
    </row>
    <row r="43" spans="1:42">
      <c r="A43" s="40"/>
      <c r="B43" s="40"/>
      <c r="C43" s="43"/>
      <c r="D43" s="12" t="s">
        <v>21</v>
      </c>
      <c r="E43" s="11"/>
      <c r="F43" s="11"/>
      <c r="G43" s="11"/>
      <c r="H43" s="11"/>
      <c r="I43" s="11"/>
      <c r="J43" s="11"/>
      <c r="K43" s="11"/>
      <c r="L43" s="11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40"/>
      <c r="AK43" s="40"/>
      <c r="AL43" s="46"/>
      <c r="AM43" s="46"/>
      <c r="AN43" s="46"/>
      <c r="AO43" s="46"/>
      <c r="AP43" s="46"/>
    </row>
    <row r="44" spans="1:42">
      <c r="A44" s="39">
        <f>A41+1</f>
        <v>14</v>
      </c>
      <c r="B44" s="39"/>
      <c r="C44" s="42" t="s">
        <v>24</v>
      </c>
      <c r="D44" s="10" t="s">
        <v>18</v>
      </c>
      <c r="E44" s="11"/>
      <c r="F44" s="11"/>
      <c r="G44" s="11"/>
      <c r="H44" s="11"/>
      <c r="I44" s="11"/>
      <c r="J44" s="11"/>
      <c r="K44" s="11"/>
      <c r="L44" s="11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39">
        <f>COUNTIFS(E44:AI45,"✓")/2</f>
        <v>0</v>
      </c>
      <c r="AK44" s="39">
        <f>SUM(O46:AG46,AH46)</f>
        <v>0</v>
      </c>
      <c r="AL44" s="44">
        <v>230000</v>
      </c>
      <c r="AM44" s="44">
        <v>25000</v>
      </c>
      <c r="AN44" s="44">
        <f>AL44*AJ44</f>
        <v>0</v>
      </c>
      <c r="AO44" s="44">
        <f>AM44*AK44</f>
        <v>0</v>
      </c>
      <c r="AP44" s="44">
        <f t="shared" ref="AP44" si="21">AL44*AJ44+AM44*AK44</f>
        <v>0</v>
      </c>
    </row>
    <row r="45" spans="1:42">
      <c r="A45" s="40"/>
      <c r="B45" s="40"/>
      <c r="C45" s="43"/>
      <c r="D45" s="10" t="s">
        <v>20</v>
      </c>
      <c r="E45" s="11"/>
      <c r="F45" s="11"/>
      <c r="G45" s="11"/>
      <c r="H45" s="11"/>
      <c r="I45" s="11"/>
      <c r="J45" s="11"/>
      <c r="K45" s="11"/>
      <c r="L45" s="11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40"/>
      <c r="AK45" s="40"/>
      <c r="AL45" s="45"/>
      <c r="AM45" s="45"/>
      <c r="AN45" s="45"/>
      <c r="AO45" s="45"/>
      <c r="AP45" s="45"/>
    </row>
    <row r="46" spans="1:42">
      <c r="A46" s="40"/>
      <c r="B46" s="40"/>
      <c r="C46" s="43"/>
      <c r="D46" s="12" t="s">
        <v>21</v>
      </c>
      <c r="E46" s="11"/>
      <c r="F46" s="11"/>
      <c r="G46" s="11"/>
      <c r="H46" s="11"/>
      <c r="I46" s="11"/>
      <c r="J46" s="11"/>
      <c r="K46" s="11"/>
      <c r="L46" s="11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40"/>
      <c r="AK46" s="40"/>
      <c r="AL46" s="46"/>
      <c r="AM46" s="46"/>
      <c r="AN46" s="46"/>
      <c r="AO46" s="46"/>
      <c r="AP46" s="46"/>
    </row>
    <row r="47" spans="1:42">
      <c r="A47" s="39">
        <f>A44+1</f>
        <v>15</v>
      </c>
      <c r="B47" s="39"/>
      <c r="C47" s="42" t="s">
        <v>24</v>
      </c>
      <c r="D47" s="10" t="s">
        <v>18</v>
      </c>
      <c r="E47" s="11"/>
      <c r="F47" s="11"/>
      <c r="G47" s="11"/>
      <c r="H47" s="11"/>
      <c r="I47" s="11"/>
      <c r="J47" s="11"/>
      <c r="K47" s="11"/>
      <c r="L47" s="11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39">
        <f>COUNTIFS(E47:AI48,"✓")/2</f>
        <v>0</v>
      </c>
      <c r="AK47" s="39">
        <f>SUM(O49:AG49,AH49)</f>
        <v>0</v>
      </c>
      <c r="AL47" s="44">
        <v>380000</v>
      </c>
      <c r="AM47" s="44">
        <v>40000</v>
      </c>
      <c r="AN47" s="44">
        <f>AL47*AJ47</f>
        <v>0</v>
      </c>
      <c r="AO47" s="44">
        <f>AM47*AK47</f>
        <v>0</v>
      </c>
      <c r="AP47" s="44">
        <f t="shared" ref="AP47" si="22">AL47*AJ47+AM47*AK47</f>
        <v>0</v>
      </c>
    </row>
    <row r="48" spans="1:42">
      <c r="A48" s="40"/>
      <c r="B48" s="40"/>
      <c r="C48" s="43"/>
      <c r="D48" s="10" t="s">
        <v>20</v>
      </c>
      <c r="E48" s="11"/>
      <c r="F48" s="11"/>
      <c r="G48" s="11"/>
      <c r="H48" s="11"/>
      <c r="I48" s="11"/>
      <c r="J48" s="11"/>
      <c r="K48" s="11"/>
      <c r="L48" s="11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40"/>
      <c r="AK48" s="40"/>
      <c r="AL48" s="45"/>
      <c r="AM48" s="45"/>
      <c r="AN48" s="45"/>
      <c r="AO48" s="45"/>
      <c r="AP48" s="45"/>
    </row>
    <row r="49" spans="1:42">
      <c r="A49" s="40"/>
      <c r="B49" s="40"/>
      <c r="C49" s="43"/>
      <c r="D49" s="12" t="s">
        <v>21</v>
      </c>
      <c r="E49" s="11"/>
      <c r="F49" s="11"/>
      <c r="G49" s="11"/>
      <c r="H49" s="11"/>
      <c r="I49" s="11"/>
      <c r="J49" s="11"/>
      <c r="K49" s="11"/>
      <c r="L49" s="11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40"/>
      <c r="AK49" s="40"/>
      <c r="AL49" s="46"/>
      <c r="AM49" s="46"/>
      <c r="AN49" s="46"/>
      <c r="AO49" s="46"/>
      <c r="AP49" s="46"/>
    </row>
    <row r="50" spans="1:42">
      <c r="A50" s="39">
        <f>A47+1</f>
        <v>16</v>
      </c>
      <c r="B50" s="39"/>
      <c r="C50" s="42" t="s">
        <v>24</v>
      </c>
      <c r="D50" s="10" t="s">
        <v>18</v>
      </c>
      <c r="E50" s="11"/>
      <c r="F50" s="11"/>
      <c r="G50" s="11"/>
      <c r="H50" s="11"/>
      <c r="I50" s="11"/>
      <c r="J50" s="11"/>
      <c r="K50" s="11"/>
      <c r="L50" s="11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39">
        <f>COUNTIFS(E50:AI51,"✓")/2</f>
        <v>0</v>
      </c>
      <c r="AK50" s="39">
        <f>SUM(O52:AG52,AH52)</f>
        <v>0</v>
      </c>
      <c r="AL50" s="44">
        <v>230000</v>
      </c>
      <c r="AM50" s="44">
        <v>25000</v>
      </c>
      <c r="AN50" s="44">
        <f>AL50*AJ50</f>
        <v>0</v>
      </c>
      <c r="AO50" s="44">
        <f>AM50*AK50</f>
        <v>0</v>
      </c>
      <c r="AP50" s="44">
        <f t="shared" ref="AP50" si="23">AL50*AJ50+AM50*AK50</f>
        <v>0</v>
      </c>
    </row>
    <row r="51" spans="1:42">
      <c r="A51" s="40"/>
      <c r="B51" s="40"/>
      <c r="C51" s="43"/>
      <c r="D51" s="10" t="s">
        <v>20</v>
      </c>
      <c r="E51" s="11"/>
      <c r="F51" s="11"/>
      <c r="G51" s="11"/>
      <c r="H51" s="11"/>
      <c r="I51" s="11"/>
      <c r="J51" s="11"/>
      <c r="K51" s="11"/>
      <c r="L51" s="11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40"/>
      <c r="AK51" s="40"/>
      <c r="AL51" s="45"/>
      <c r="AM51" s="45"/>
      <c r="AN51" s="45"/>
      <c r="AO51" s="45"/>
      <c r="AP51" s="45"/>
    </row>
    <row r="52" spans="1:42">
      <c r="A52" s="40"/>
      <c r="B52" s="40"/>
      <c r="C52" s="43"/>
      <c r="D52" s="12" t="s">
        <v>21</v>
      </c>
      <c r="E52" s="11"/>
      <c r="F52" s="11"/>
      <c r="G52" s="11"/>
      <c r="H52" s="11"/>
      <c r="I52" s="11"/>
      <c r="J52" s="11"/>
      <c r="K52" s="11"/>
      <c r="L52" s="11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40"/>
      <c r="AK52" s="40"/>
      <c r="AL52" s="46"/>
      <c r="AM52" s="46"/>
      <c r="AN52" s="46"/>
      <c r="AO52" s="46"/>
      <c r="AP52" s="46"/>
    </row>
    <row r="53" spans="1:42">
      <c r="A53" s="39">
        <f>A50+1</f>
        <v>17</v>
      </c>
      <c r="B53" s="39"/>
      <c r="C53" s="42" t="s">
        <v>17</v>
      </c>
      <c r="D53" s="10" t="s">
        <v>18</v>
      </c>
      <c r="E53" s="11"/>
      <c r="F53" s="11"/>
      <c r="G53" s="11"/>
      <c r="H53" s="11"/>
      <c r="I53" s="11"/>
      <c r="J53" s="11"/>
      <c r="K53" s="11"/>
      <c r="L53" s="11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39">
        <f>COUNTIFS(E53:AI54,"✓")/2</f>
        <v>0</v>
      </c>
      <c r="AK53" s="39">
        <f>SUM(O55:AG55,AH55)</f>
        <v>0</v>
      </c>
      <c r="AL53" s="44">
        <v>230000</v>
      </c>
      <c r="AM53" s="44">
        <v>25000</v>
      </c>
      <c r="AN53" s="44">
        <f>AL53*AJ53</f>
        <v>0</v>
      </c>
      <c r="AO53" s="44">
        <f>AM53*AK53</f>
        <v>0</v>
      </c>
      <c r="AP53" s="44">
        <f t="shared" ref="AP53" si="24">AL53*AJ53+AM53*AK53</f>
        <v>0</v>
      </c>
    </row>
    <row r="54" spans="1:42">
      <c r="A54" s="40"/>
      <c r="B54" s="40"/>
      <c r="C54" s="43"/>
      <c r="D54" s="10" t="s">
        <v>20</v>
      </c>
      <c r="E54" s="11"/>
      <c r="F54" s="11"/>
      <c r="G54" s="11"/>
      <c r="H54" s="11"/>
      <c r="I54" s="11"/>
      <c r="J54" s="11"/>
      <c r="K54" s="11"/>
      <c r="L54" s="11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40"/>
      <c r="AK54" s="40"/>
      <c r="AL54" s="45"/>
      <c r="AM54" s="45"/>
      <c r="AN54" s="45"/>
      <c r="AO54" s="45"/>
      <c r="AP54" s="45"/>
    </row>
    <row r="55" spans="1:42">
      <c r="A55" s="40"/>
      <c r="B55" s="40"/>
      <c r="C55" s="43"/>
      <c r="D55" s="12" t="s">
        <v>21</v>
      </c>
      <c r="E55" s="11"/>
      <c r="F55" s="11"/>
      <c r="G55" s="11"/>
      <c r="H55" s="11"/>
      <c r="I55" s="11"/>
      <c r="J55" s="11"/>
      <c r="K55" s="11"/>
      <c r="L55" s="11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40"/>
      <c r="AK55" s="40"/>
      <c r="AL55" s="46"/>
      <c r="AM55" s="46"/>
      <c r="AN55" s="46"/>
      <c r="AO55" s="46"/>
      <c r="AP55" s="46"/>
    </row>
    <row r="56" spans="1:42">
      <c r="A56" s="39">
        <f>A53+1</f>
        <v>18</v>
      </c>
      <c r="B56" s="39"/>
      <c r="C56" s="42" t="s">
        <v>17</v>
      </c>
      <c r="D56" s="10" t="s">
        <v>18</v>
      </c>
      <c r="E56" s="11"/>
      <c r="F56" s="11"/>
      <c r="G56" s="11"/>
      <c r="H56" s="11"/>
      <c r="I56" s="11"/>
      <c r="J56" s="11"/>
      <c r="K56" s="11"/>
      <c r="L56" s="11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39">
        <f>COUNTIFS(E56:AI57,"✓")/2</f>
        <v>0</v>
      </c>
      <c r="AK56" s="39">
        <f>SUM(O58:AG58,AH58)</f>
        <v>0</v>
      </c>
      <c r="AL56" s="44">
        <v>230000</v>
      </c>
      <c r="AM56" s="44">
        <v>25000</v>
      </c>
      <c r="AN56" s="44">
        <f>AL56*AJ56</f>
        <v>0</v>
      </c>
      <c r="AO56" s="44">
        <f>AM56*AK56</f>
        <v>0</v>
      </c>
      <c r="AP56" s="44">
        <f t="shared" ref="AP56" si="25">AL56*AJ56+AM56*AK56</f>
        <v>0</v>
      </c>
    </row>
    <row r="57" spans="1:42">
      <c r="A57" s="40"/>
      <c r="B57" s="40"/>
      <c r="C57" s="43"/>
      <c r="D57" s="10" t="s">
        <v>20</v>
      </c>
      <c r="E57" s="11"/>
      <c r="F57" s="11"/>
      <c r="G57" s="11"/>
      <c r="H57" s="11"/>
      <c r="I57" s="11"/>
      <c r="J57" s="11"/>
      <c r="K57" s="11"/>
      <c r="L57" s="11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40"/>
      <c r="AK57" s="40"/>
      <c r="AL57" s="45"/>
      <c r="AM57" s="45"/>
      <c r="AN57" s="45"/>
      <c r="AO57" s="45"/>
      <c r="AP57" s="45"/>
    </row>
    <row r="58" spans="1:42">
      <c r="A58" s="40"/>
      <c r="B58" s="40"/>
      <c r="C58" s="43"/>
      <c r="D58" s="12" t="s">
        <v>21</v>
      </c>
      <c r="E58" s="11"/>
      <c r="F58" s="11"/>
      <c r="G58" s="11"/>
      <c r="H58" s="11"/>
      <c r="I58" s="11"/>
      <c r="J58" s="11"/>
      <c r="K58" s="11"/>
      <c r="L58" s="11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40"/>
      <c r="AK58" s="40"/>
      <c r="AL58" s="46"/>
      <c r="AM58" s="46"/>
      <c r="AN58" s="46"/>
      <c r="AO58" s="46"/>
      <c r="AP58" s="46"/>
    </row>
    <row r="59" spans="1:42">
      <c r="A59" s="39">
        <f>A56+1</f>
        <v>19</v>
      </c>
      <c r="B59" s="39"/>
      <c r="C59" s="42" t="s">
        <v>17</v>
      </c>
      <c r="D59" s="10" t="s">
        <v>18</v>
      </c>
      <c r="E59" s="11"/>
      <c r="F59" s="11"/>
      <c r="G59" s="11"/>
      <c r="H59" s="11"/>
      <c r="I59" s="11"/>
      <c r="J59" s="11"/>
      <c r="K59" s="11"/>
      <c r="L59" s="11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39">
        <f>COUNTIFS(E59:AI60,"✓")/2</f>
        <v>0</v>
      </c>
      <c r="AK59" s="39">
        <f t="shared" ref="AK59" si="26">SUM(O61:AG61)</f>
        <v>0</v>
      </c>
      <c r="AL59" s="44">
        <v>280000</v>
      </c>
      <c r="AM59" s="44">
        <v>30000</v>
      </c>
      <c r="AN59" s="44">
        <f>AL59*AJ59</f>
        <v>0</v>
      </c>
      <c r="AO59" s="44">
        <f>AM59*AK59</f>
        <v>0</v>
      </c>
      <c r="AP59" s="44">
        <f t="shared" ref="AP59" si="27">AL59*AJ59+AM59*AK59</f>
        <v>0</v>
      </c>
    </row>
    <row r="60" spans="1:42">
      <c r="A60" s="40"/>
      <c r="B60" s="40"/>
      <c r="C60" s="43"/>
      <c r="D60" s="10" t="s">
        <v>20</v>
      </c>
      <c r="E60" s="11"/>
      <c r="F60" s="11"/>
      <c r="G60" s="11"/>
      <c r="H60" s="11"/>
      <c r="I60" s="11"/>
      <c r="J60" s="11"/>
      <c r="K60" s="11"/>
      <c r="L60" s="11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40"/>
      <c r="AK60" s="40"/>
      <c r="AL60" s="45"/>
      <c r="AM60" s="45"/>
      <c r="AN60" s="45"/>
      <c r="AO60" s="45"/>
      <c r="AP60" s="45"/>
    </row>
    <row r="61" spans="1:42">
      <c r="A61" s="40"/>
      <c r="B61" s="40"/>
      <c r="C61" s="43"/>
      <c r="D61" s="12" t="s">
        <v>21</v>
      </c>
      <c r="E61" s="11"/>
      <c r="F61" s="11"/>
      <c r="G61" s="11"/>
      <c r="H61" s="11"/>
      <c r="I61" s="11"/>
      <c r="J61" s="11"/>
      <c r="K61" s="11"/>
      <c r="L61" s="11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40"/>
      <c r="AK61" s="40"/>
      <c r="AL61" s="46"/>
      <c r="AM61" s="46"/>
      <c r="AN61" s="46"/>
      <c r="AO61" s="46"/>
      <c r="AP61" s="46"/>
    </row>
    <row r="62" spans="1:42">
      <c r="A62" s="39">
        <f>A59+1</f>
        <v>20</v>
      </c>
      <c r="B62" s="39"/>
      <c r="C62" s="42" t="s">
        <v>17</v>
      </c>
      <c r="D62" s="10" t="s">
        <v>18</v>
      </c>
      <c r="E62" s="11"/>
      <c r="F62" s="11"/>
      <c r="G62" s="11"/>
      <c r="H62" s="11"/>
      <c r="I62" s="11"/>
      <c r="J62" s="11"/>
      <c r="K62" s="11"/>
      <c r="L62" s="11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39">
        <f>COUNTIFS(E62:AI63,"✓")/2</f>
        <v>0</v>
      </c>
      <c r="AK62" s="39">
        <f>SUM(O64:AG64,AH64)</f>
        <v>0</v>
      </c>
      <c r="AL62" s="44">
        <v>230000</v>
      </c>
      <c r="AM62" s="44">
        <v>25000</v>
      </c>
      <c r="AN62" s="44">
        <f>AL62*AJ62</f>
        <v>0</v>
      </c>
      <c r="AO62" s="44">
        <f>AM62*AK62</f>
        <v>0</v>
      </c>
      <c r="AP62" s="44">
        <f t="shared" ref="AP62" si="28">AL62*AJ62+AM62*AK62</f>
        <v>0</v>
      </c>
    </row>
    <row r="63" spans="1:42">
      <c r="A63" s="40"/>
      <c r="B63" s="40"/>
      <c r="C63" s="43"/>
      <c r="D63" s="10" t="s">
        <v>20</v>
      </c>
      <c r="E63" s="11"/>
      <c r="F63" s="11"/>
      <c r="G63" s="11"/>
      <c r="H63" s="11"/>
      <c r="I63" s="11"/>
      <c r="J63" s="11"/>
      <c r="K63" s="11"/>
      <c r="L63" s="11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40"/>
      <c r="AK63" s="40"/>
      <c r="AL63" s="45"/>
      <c r="AM63" s="45"/>
      <c r="AN63" s="45"/>
      <c r="AO63" s="45"/>
      <c r="AP63" s="45"/>
    </row>
    <row r="64" spans="1:42">
      <c r="A64" s="40"/>
      <c r="B64" s="40"/>
      <c r="C64" s="43"/>
      <c r="D64" s="12" t="s">
        <v>21</v>
      </c>
      <c r="E64" s="11"/>
      <c r="F64" s="11"/>
      <c r="G64" s="11"/>
      <c r="H64" s="11"/>
      <c r="I64" s="11"/>
      <c r="J64" s="11"/>
      <c r="K64" s="11"/>
      <c r="L64" s="11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40"/>
      <c r="AK64" s="40"/>
      <c r="AL64" s="46"/>
      <c r="AM64" s="46"/>
      <c r="AN64" s="46"/>
      <c r="AO64" s="46"/>
      <c r="AP64" s="46"/>
    </row>
    <row r="65" spans="1:42">
      <c r="A65" s="39">
        <f>A62+1</f>
        <v>21</v>
      </c>
      <c r="B65" s="39"/>
      <c r="C65" s="42" t="s">
        <v>17</v>
      </c>
      <c r="D65" s="10" t="s">
        <v>18</v>
      </c>
      <c r="E65" s="11"/>
      <c r="F65" s="11"/>
      <c r="G65" s="11"/>
      <c r="H65" s="11"/>
      <c r="I65" s="11"/>
      <c r="J65" s="11"/>
      <c r="K65" s="11"/>
      <c r="L65" s="11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39">
        <f>COUNTIFS(E65:AI66,"✓")/2</f>
        <v>0</v>
      </c>
      <c r="AK65" s="39">
        <f t="shared" ref="AK65" si="29">SUM(O67:AG67)</f>
        <v>0</v>
      </c>
      <c r="AL65" s="44">
        <v>230000</v>
      </c>
      <c r="AM65" s="44">
        <v>25000</v>
      </c>
      <c r="AN65" s="44">
        <f>AL65*AJ65</f>
        <v>0</v>
      </c>
      <c r="AO65" s="44">
        <f>AM65*AK65</f>
        <v>0</v>
      </c>
      <c r="AP65" s="44">
        <f t="shared" ref="AP65" si="30">AL65*AJ65+AM65*AK65</f>
        <v>0</v>
      </c>
    </row>
    <row r="66" spans="1:42">
      <c r="A66" s="40"/>
      <c r="B66" s="40"/>
      <c r="C66" s="43"/>
      <c r="D66" s="10" t="s">
        <v>20</v>
      </c>
      <c r="E66" s="11"/>
      <c r="F66" s="11"/>
      <c r="G66" s="11"/>
      <c r="H66" s="11"/>
      <c r="I66" s="11"/>
      <c r="J66" s="11"/>
      <c r="K66" s="11"/>
      <c r="L66" s="11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40"/>
      <c r="AK66" s="40"/>
      <c r="AL66" s="45"/>
      <c r="AM66" s="45"/>
      <c r="AN66" s="45"/>
      <c r="AO66" s="45"/>
      <c r="AP66" s="45"/>
    </row>
    <row r="67" spans="1:42">
      <c r="A67" s="40"/>
      <c r="B67" s="40"/>
      <c r="C67" s="43"/>
      <c r="D67" s="12" t="s">
        <v>21</v>
      </c>
      <c r="E67" s="11"/>
      <c r="F67" s="11"/>
      <c r="G67" s="11"/>
      <c r="H67" s="11"/>
      <c r="I67" s="11"/>
      <c r="J67" s="11"/>
      <c r="K67" s="11"/>
      <c r="L67" s="11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40"/>
      <c r="AK67" s="40"/>
      <c r="AL67" s="46"/>
      <c r="AM67" s="46"/>
      <c r="AN67" s="46"/>
      <c r="AO67" s="46"/>
      <c r="AP67" s="46"/>
    </row>
    <row r="68" spans="1:42">
      <c r="A68" s="39">
        <f>A65+1</f>
        <v>22</v>
      </c>
      <c r="B68" s="39"/>
      <c r="C68" s="42" t="s">
        <v>24</v>
      </c>
      <c r="D68" s="10" t="s">
        <v>18</v>
      </c>
      <c r="E68" s="11"/>
      <c r="F68" s="11"/>
      <c r="G68" s="11"/>
      <c r="H68" s="11"/>
      <c r="I68" s="11"/>
      <c r="J68" s="11"/>
      <c r="K68" s="11"/>
      <c r="L68" s="11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39">
        <f>COUNTIFS(E68:AI69,"✓")/2</f>
        <v>0</v>
      </c>
      <c r="AK68" s="39">
        <f>SUM(N70:AG70)</f>
        <v>0</v>
      </c>
      <c r="AL68" s="44">
        <v>230000</v>
      </c>
      <c r="AM68" s="44">
        <v>25000</v>
      </c>
      <c r="AN68" s="44">
        <f>AL68*AJ68</f>
        <v>0</v>
      </c>
      <c r="AO68" s="44">
        <f>AM68*AK68</f>
        <v>0</v>
      </c>
      <c r="AP68" s="44">
        <f t="shared" ref="AP68" si="31">AL68*AJ68+AM68*AK68</f>
        <v>0</v>
      </c>
    </row>
    <row r="69" spans="1:42">
      <c r="A69" s="40"/>
      <c r="B69" s="40"/>
      <c r="C69" s="43"/>
      <c r="D69" s="10" t="s">
        <v>20</v>
      </c>
      <c r="E69" s="11"/>
      <c r="F69" s="11"/>
      <c r="G69" s="11"/>
      <c r="H69" s="11"/>
      <c r="I69" s="11"/>
      <c r="J69" s="11"/>
      <c r="K69" s="11"/>
      <c r="L69" s="11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40"/>
      <c r="AK69" s="40"/>
      <c r="AL69" s="45"/>
      <c r="AM69" s="45"/>
      <c r="AN69" s="45"/>
      <c r="AO69" s="45"/>
      <c r="AP69" s="45"/>
    </row>
    <row r="70" spans="1:42">
      <c r="A70" s="40"/>
      <c r="B70" s="40"/>
      <c r="C70" s="43"/>
      <c r="D70" s="12" t="s">
        <v>21</v>
      </c>
      <c r="E70" s="11"/>
      <c r="F70" s="11"/>
      <c r="G70" s="11"/>
      <c r="H70" s="11"/>
      <c r="I70" s="11"/>
      <c r="J70" s="11"/>
      <c r="K70" s="11"/>
      <c r="L70" s="11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40"/>
      <c r="AK70" s="40"/>
      <c r="AL70" s="46"/>
      <c r="AM70" s="46"/>
      <c r="AN70" s="46"/>
      <c r="AO70" s="46"/>
      <c r="AP70" s="46"/>
    </row>
    <row r="71" spans="1:42">
      <c r="A71" s="39">
        <f>A68+1</f>
        <v>23</v>
      </c>
      <c r="B71" s="39"/>
      <c r="C71" s="42" t="s">
        <v>24</v>
      </c>
      <c r="D71" s="10" t="s">
        <v>18</v>
      </c>
      <c r="E71" s="11"/>
      <c r="F71" s="11"/>
      <c r="G71" s="11"/>
      <c r="H71" s="11"/>
      <c r="I71" s="11"/>
      <c r="J71" s="11"/>
      <c r="K71" s="11"/>
      <c r="L71" s="11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39">
        <f>COUNTIFS(E71:AI72,"✓")/2</f>
        <v>0</v>
      </c>
      <c r="AK71" s="39">
        <f t="shared" ref="AK71" si="32">SUM(O73:AG73)</f>
        <v>0</v>
      </c>
      <c r="AL71" s="44">
        <v>230000</v>
      </c>
      <c r="AM71" s="44">
        <v>25000</v>
      </c>
      <c r="AN71" s="44">
        <f>AL71*AJ71</f>
        <v>0</v>
      </c>
      <c r="AO71" s="44">
        <f>AM71*AK71</f>
        <v>0</v>
      </c>
      <c r="AP71" s="44">
        <f t="shared" ref="AP71" si="33">AL71*AJ71+AM71*AK71</f>
        <v>0</v>
      </c>
    </row>
    <row r="72" spans="1:42">
      <c r="A72" s="40"/>
      <c r="B72" s="40"/>
      <c r="C72" s="43"/>
      <c r="D72" s="10" t="s">
        <v>20</v>
      </c>
      <c r="E72" s="11"/>
      <c r="F72" s="11"/>
      <c r="G72" s="11"/>
      <c r="H72" s="11"/>
      <c r="I72" s="11"/>
      <c r="J72" s="11"/>
      <c r="K72" s="11"/>
      <c r="L72" s="11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40"/>
      <c r="AK72" s="40"/>
      <c r="AL72" s="45"/>
      <c r="AM72" s="45"/>
      <c r="AN72" s="45"/>
      <c r="AO72" s="45"/>
      <c r="AP72" s="45"/>
    </row>
    <row r="73" spans="1:42">
      <c r="A73" s="40"/>
      <c r="B73" s="40"/>
      <c r="C73" s="43"/>
      <c r="D73" s="12" t="s">
        <v>21</v>
      </c>
      <c r="E73" s="11"/>
      <c r="F73" s="11"/>
      <c r="G73" s="11"/>
      <c r="H73" s="11"/>
      <c r="I73" s="11"/>
      <c r="J73" s="11"/>
      <c r="K73" s="11"/>
      <c r="L73" s="11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40"/>
      <c r="AK73" s="40"/>
      <c r="AL73" s="46"/>
      <c r="AM73" s="46"/>
      <c r="AN73" s="46"/>
      <c r="AO73" s="46"/>
      <c r="AP73" s="46"/>
    </row>
    <row r="74" spans="1:42">
      <c r="A74" s="39">
        <f>A71+1</f>
        <v>24</v>
      </c>
      <c r="B74" s="39"/>
      <c r="C74" s="42" t="s">
        <v>24</v>
      </c>
      <c r="D74" s="10" t="s">
        <v>18</v>
      </c>
      <c r="E74" s="11"/>
      <c r="F74" s="11"/>
      <c r="G74" s="11"/>
      <c r="H74" s="11"/>
      <c r="I74" s="11"/>
      <c r="J74" s="11"/>
      <c r="K74" s="11"/>
      <c r="L74" s="11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39">
        <f>COUNTIFS(E74:AI75,"✓")/2</f>
        <v>0</v>
      </c>
      <c r="AK74" s="39">
        <f t="shared" ref="AK74" si="34">SUM(O76:AG76)</f>
        <v>0</v>
      </c>
      <c r="AL74" s="44">
        <v>230000</v>
      </c>
      <c r="AM74" s="44">
        <v>25000</v>
      </c>
      <c r="AN74" s="44">
        <f>AL74*AJ74</f>
        <v>0</v>
      </c>
      <c r="AO74" s="44">
        <f>AM74*AK74</f>
        <v>0</v>
      </c>
      <c r="AP74" s="44">
        <f t="shared" ref="AP74" si="35">AL74*AJ74+AM74*AK74</f>
        <v>0</v>
      </c>
    </row>
    <row r="75" spans="1:42">
      <c r="A75" s="40"/>
      <c r="B75" s="40"/>
      <c r="C75" s="43"/>
      <c r="D75" s="10" t="s">
        <v>20</v>
      </c>
      <c r="E75" s="11"/>
      <c r="F75" s="11"/>
      <c r="G75" s="11"/>
      <c r="H75" s="11"/>
      <c r="I75" s="11"/>
      <c r="J75" s="11"/>
      <c r="K75" s="11"/>
      <c r="L75" s="11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40"/>
      <c r="AK75" s="40"/>
      <c r="AL75" s="45"/>
      <c r="AM75" s="45"/>
      <c r="AN75" s="45"/>
      <c r="AO75" s="45"/>
      <c r="AP75" s="45"/>
    </row>
    <row r="76" spans="1:42">
      <c r="A76" s="40"/>
      <c r="B76" s="40"/>
      <c r="C76" s="43"/>
      <c r="D76" s="12" t="s">
        <v>21</v>
      </c>
      <c r="E76" s="11"/>
      <c r="F76" s="11"/>
      <c r="G76" s="11"/>
      <c r="H76" s="11"/>
      <c r="I76" s="11"/>
      <c r="J76" s="11"/>
      <c r="K76" s="11"/>
      <c r="L76" s="11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40"/>
      <c r="AK76" s="40"/>
      <c r="AL76" s="46"/>
      <c r="AM76" s="46"/>
      <c r="AN76" s="46"/>
      <c r="AO76" s="46"/>
      <c r="AP76" s="46"/>
    </row>
    <row r="77" spans="1:42">
      <c r="A77" s="39">
        <f>A74+1</f>
        <v>25</v>
      </c>
      <c r="B77" s="39"/>
      <c r="C77" s="42" t="s">
        <v>24</v>
      </c>
      <c r="D77" s="10" t="s">
        <v>18</v>
      </c>
      <c r="E77" s="11"/>
      <c r="F77" s="11"/>
      <c r="G77" s="11"/>
      <c r="H77" s="11"/>
      <c r="I77" s="11"/>
      <c r="J77" s="11"/>
      <c r="K77" s="11"/>
      <c r="L77" s="11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39">
        <f>COUNTIFS(E77:AI78,"✓")/2</f>
        <v>0</v>
      </c>
      <c r="AK77" s="39">
        <f t="shared" ref="AK77" si="36">SUM(O79:AG79)</f>
        <v>0</v>
      </c>
      <c r="AL77" s="44">
        <v>230000</v>
      </c>
      <c r="AM77" s="44">
        <v>25000</v>
      </c>
      <c r="AN77" s="44">
        <f>AL77*AJ77</f>
        <v>0</v>
      </c>
      <c r="AO77" s="44">
        <f>AM77*AK77</f>
        <v>0</v>
      </c>
      <c r="AP77" s="44">
        <f t="shared" ref="AP77" si="37">AL77*AJ77+AM77*AK77</f>
        <v>0</v>
      </c>
    </row>
    <row r="78" spans="1:42">
      <c r="A78" s="40"/>
      <c r="B78" s="40"/>
      <c r="C78" s="43"/>
      <c r="D78" s="10" t="s">
        <v>20</v>
      </c>
      <c r="E78" s="11"/>
      <c r="F78" s="11"/>
      <c r="G78" s="11"/>
      <c r="H78" s="11"/>
      <c r="I78" s="11"/>
      <c r="J78" s="11"/>
      <c r="K78" s="11"/>
      <c r="L78" s="11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40"/>
      <c r="AK78" s="40"/>
      <c r="AL78" s="45"/>
      <c r="AM78" s="45"/>
      <c r="AN78" s="45"/>
      <c r="AO78" s="45"/>
      <c r="AP78" s="45"/>
    </row>
    <row r="79" spans="1:42">
      <c r="A79" s="40"/>
      <c r="B79" s="40"/>
      <c r="C79" s="43"/>
      <c r="D79" s="12" t="s">
        <v>21</v>
      </c>
      <c r="E79" s="11"/>
      <c r="F79" s="11"/>
      <c r="G79" s="11"/>
      <c r="H79" s="11"/>
      <c r="I79" s="11"/>
      <c r="J79" s="11"/>
      <c r="K79" s="11"/>
      <c r="L79" s="11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40"/>
      <c r="AK79" s="40"/>
      <c r="AL79" s="46"/>
      <c r="AM79" s="46"/>
      <c r="AN79" s="46"/>
      <c r="AO79" s="46"/>
      <c r="AP79" s="46"/>
    </row>
    <row r="80" spans="1:42">
      <c r="A80" s="39">
        <f>A77+1</f>
        <v>26</v>
      </c>
      <c r="B80" s="39"/>
      <c r="C80" s="42" t="s">
        <v>24</v>
      </c>
      <c r="D80" s="10" t="s">
        <v>18</v>
      </c>
      <c r="E80" s="11"/>
      <c r="F80" s="11"/>
      <c r="G80" s="11"/>
      <c r="H80" s="11"/>
      <c r="I80" s="11"/>
      <c r="J80" s="11"/>
      <c r="K80" s="11"/>
      <c r="L80" s="11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39">
        <f>COUNTIFS(E80:AI81,"✓")/2</f>
        <v>0</v>
      </c>
      <c r="AK80" s="39">
        <f t="shared" ref="AK80" si="38">SUM(O82:AG82)</f>
        <v>0</v>
      </c>
      <c r="AL80" s="44">
        <v>230000</v>
      </c>
      <c r="AM80" s="44">
        <v>25000</v>
      </c>
      <c r="AN80" s="44">
        <f>AL80*AJ80</f>
        <v>0</v>
      </c>
      <c r="AO80" s="44">
        <f>AM80*AK80</f>
        <v>0</v>
      </c>
      <c r="AP80" s="44">
        <f t="shared" ref="AP80" si="39">AL80*AJ80+AM80*AK80</f>
        <v>0</v>
      </c>
    </row>
    <row r="81" spans="1:42">
      <c r="A81" s="40"/>
      <c r="B81" s="40"/>
      <c r="C81" s="43"/>
      <c r="D81" s="10" t="s">
        <v>20</v>
      </c>
      <c r="E81" s="11"/>
      <c r="F81" s="11"/>
      <c r="G81" s="11"/>
      <c r="H81" s="11"/>
      <c r="I81" s="11"/>
      <c r="J81" s="11"/>
      <c r="K81" s="11"/>
      <c r="L81" s="11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40"/>
      <c r="AK81" s="40"/>
      <c r="AL81" s="45"/>
      <c r="AM81" s="45"/>
      <c r="AN81" s="45"/>
      <c r="AO81" s="45"/>
      <c r="AP81" s="45"/>
    </row>
    <row r="82" spans="1:42">
      <c r="A82" s="40"/>
      <c r="B82" s="40"/>
      <c r="C82" s="43"/>
      <c r="D82" s="12" t="s">
        <v>21</v>
      </c>
      <c r="E82" s="11"/>
      <c r="F82" s="11"/>
      <c r="G82" s="11"/>
      <c r="H82" s="11"/>
      <c r="I82" s="11"/>
      <c r="J82" s="11"/>
      <c r="K82" s="11"/>
      <c r="L82" s="11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40"/>
      <c r="AK82" s="40"/>
      <c r="AL82" s="46"/>
      <c r="AM82" s="46"/>
      <c r="AN82" s="46"/>
      <c r="AO82" s="46"/>
      <c r="AP82" s="46"/>
    </row>
    <row r="83" spans="1:42">
      <c r="A83" s="39">
        <f t="shared" ref="A83" si="40">A80+1</f>
        <v>27</v>
      </c>
      <c r="B83" s="39"/>
      <c r="C83" s="42" t="s">
        <v>24</v>
      </c>
      <c r="D83" s="10" t="s">
        <v>18</v>
      </c>
      <c r="E83" s="11"/>
      <c r="F83" s="11"/>
      <c r="G83" s="11"/>
      <c r="H83" s="11"/>
      <c r="I83" s="11"/>
      <c r="J83" s="11"/>
      <c r="K83" s="11"/>
      <c r="L83" s="11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39">
        <f>COUNTIFS(E83:AI84,"✓")/2</f>
        <v>0</v>
      </c>
      <c r="AK83" s="39">
        <f t="shared" ref="AK83" si="41">SUM(O85:AG85)</f>
        <v>0</v>
      </c>
      <c r="AL83" s="44">
        <v>230000</v>
      </c>
      <c r="AM83" s="44">
        <v>25000</v>
      </c>
      <c r="AN83" s="44">
        <f>AL83*AJ83</f>
        <v>0</v>
      </c>
      <c r="AO83" s="44">
        <f>AM83*AK83</f>
        <v>0</v>
      </c>
      <c r="AP83" s="44">
        <f t="shared" ref="AP83" si="42">AL83*AJ83+AM83*AK83</f>
        <v>0</v>
      </c>
    </row>
    <row r="84" spans="1:42">
      <c r="A84" s="40"/>
      <c r="B84" s="40"/>
      <c r="C84" s="43"/>
      <c r="D84" s="10" t="s">
        <v>20</v>
      </c>
      <c r="E84" s="11"/>
      <c r="F84" s="11"/>
      <c r="G84" s="11"/>
      <c r="H84" s="11"/>
      <c r="I84" s="11"/>
      <c r="J84" s="11"/>
      <c r="K84" s="11"/>
      <c r="L84" s="11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40"/>
      <c r="AK84" s="40"/>
      <c r="AL84" s="45"/>
      <c r="AM84" s="45"/>
      <c r="AN84" s="45"/>
      <c r="AO84" s="45"/>
      <c r="AP84" s="45"/>
    </row>
    <row r="85" spans="1:42">
      <c r="A85" s="40"/>
      <c r="B85" s="40"/>
      <c r="C85" s="43"/>
      <c r="D85" s="12" t="s">
        <v>21</v>
      </c>
      <c r="E85" s="11"/>
      <c r="F85" s="11"/>
      <c r="G85" s="11"/>
      <c r="H85" s="11"/>
      <c r="I85" s="11"/>
      <c r="J85" s="11"/>
      <c r="K85" s="11"/>
      <c r="L85" s="11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40"/>
      <c r="AK85" s="40"/>
      <c r="AL85" s="46"/>
      <c r="AM85" s="46"/>
      <c r="AN85" s="46"/>
      <c r="AO85" s="46"/>
      <c r="AP85" s="46"/>
    </row>
    <row r="86" spans="1:42">
      <c r="A86" s="39">
        <f t="shared" ref="A86" si="43">A83+1</f>
        <v>28</v>
      </c>
      <c r="B86" s="39"/>
      <c r="C86" s="42" t="s">
        <v>24</v>
      </c>
      <c r="D86" s="10" t="s">
        <v>18</v>
      </c>
      <c r="E86" s="11"/>
      <c r="F86" s="11"/>
      <c r="G86" s="11"/>
      <c r="H86" s="11"/>
      <c r="I86" s="11"/>
      <c r="J86" s="11"/>
      <c r="K86" s="11"/>
      <c r="L86" s="11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39">
        <f t="shared" ref="AJ86" si="44">COUNTIFS(E86:AI87,"✓")/2</f>
        <v>0</v>
      </c>
      <c r="AK86" s="39">
        <f t="shared" ref="AK86" si="45">SUM(O88:AG88)</f>
        <v>0</v>
      </c>
      <c r="AL86" s="44">
        <v>230000</v>
      </c>
      <c r="AM86" s="44">
        <v>25000</v>
      </c>
      <c r="AN86" s="44">
        <f t="shared" ref="AN86:AO86" si="46">AL86*AJ86</f>
        <v>0</v>
      </c>
      <c r="AO86" s="44">
        <f t="shared" si="46"/>
        <v>0</v>
      </c>
      <c r="AP86" s="44">
        <f t="shared" ref="AP86" si="47">AL86*AJ86+AM86*AK86</f>
        <v>0</v>
      </c>
    </row>
    <row r="87" spans="1:42">
      <c r="A87" s="40"/>
      <c r="B87" s="40"/>
      <c r="C87" s="43"/>
      <c r="D87" s="10" t="s">
        <v>20</v>
      </c>
      <c r="E87" s="11"/>
      <c r="F87" s="11"/>
      <c r="G87" s="11"/>
      <c r="H87" s="11"/>
      <c r="I87" s="11"/>
      <c r="J87" s="11"/>
      <c r="K87" s="11"/>
      <c r="L87" s="11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40"/>
      <c r="AK87" s="40"/>
      <c r="AL87" s="45"/>
      <c r="AM87" s="45"/>
      <c r="AN87" s="45"/>
      <c r="AO87" s="45"/>
      <c r="AP87" s="45"/>
    </row>
    <row r="88" spans="1:42">
      <c r="A88" s="40"/>
      <c r="B88" s="40"/>
      <c r="C88" s="43"/>
      <c r="D88" s="12" t="s">
        <v>21</v>
      </c>
      <c r="E88" s="11"/>
      <c r="F88" s="11"/>
      <c r="G88" s="11"/>
      <c r="H88" s="11"/>
      <c r="I88" s="11"/>
      <c r="J88" s="11"/>
      <c r="K88" s="11"/>
      <c r="L88" s="11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40"/>
      <c r="AK88" s="40"/>
      <c r="AL88" s="46"/>
      <c r="AM88" s="46"/>
      <c r="AN88" s="46"/>
      <c r="AO88" s="46"/>
      <c r="AP88" s="46"/>
    </row>
    <row r="89" spans="1:42">
      <c r="A89" s="39">
        <f t="shared" ref="A89" si="48">A86+1</f>
        <v>29</v>
      </c>
      <c r="B89" s="39"/>
      <c r="C89" s="68"/>
      <c r="D89" s="10" t="s">
        <v>18</v>
      </c>
      <c r="E89" s="11"/>
      <c r="F89" s="11"/>
      <c r="G89" s="11"/>
      <c r="H89" s="11"/>
      <c r="I89" s="11"/>
      <c r="J89" s="11"/>
      <c r="K89" s="11"/>
      <c r="L89" s="11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39">
        <f t="shared" ref="AJ89" si="49">COUNTIFS(E89:AI90,"✓")/2</f>
        <v>0</v>
      </c>
      <c r="AK89" s="39">
        <f t="shared" ref="AK89" si="50">SUM(O91:AG91)</f>
        <v>0</v>
      </c>
      <c r="AL89" s="44">
        <v>230000</v>
      </c>
      <c r="AM89" s="44">
        <v>25000</v>
      </c>
      <c r="AN89" s="44">
        <f t="shared" ref="AN89:AO89" si="51">AL89*AJ89</f>
        <v>0</v>
      </c>
      <c r="AO89" s="44">
        <f t="shared" si="51"/>
        <v>0</v>
      </c>
      <c r="AP89" s="44">
        <f t="shared" ref="AP89" si="52">AL89*AJ89+AM89*AK89</f>
        <v>0</v>
      </c>
    </row>
    <row r="90" spans="1:42">
      <c r="A90" s="40"/>
      <c r="B90" s="40"/>
      <c r="C90" s="68"/>
      <c r="D90" s="10" t="s">
        <v>20</v>
      </c>
      <c r="E90" s="11"/>
      <c r="F90" s="11"/>
      <c r="G90" s="11"/>
      <c r="H90" s="11"/>
      <c r="I90" s="11"/>
      <c r="J90" s="11"/>
      <c r="K90" s="11"/>
      <c r="L90" s="11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40"/>
      <c r="AK90" s="40"/>
      <c r="AL90" s="45"/>
      <c r="AM90" s="45"/>
      <c r="AN90" s="45"/>
      <c r="AO90" s="45"/>
      <c r="AP90" s="45"/>
    </row>
    <row r="91" spans="1:42">
      <c r="A91" s="40"/>
      <c r="B91" s="40"/>
      <c r="C91" s="68"/>
      <c r="D91" s="12" t="s">
        <v>21</v>
      </c>
      <c r="E91" s="11"/>
      <c r="F91" s="11"/>
      <c r="G91" s="11"/>
      <c r="H91" s="11"/>
      <c r="I91" s="11"/>
      <c r="J91" s="11"/>
      <c r="K91" s="11"/>
      <c r="L91" s="11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40"/>
      <c r="AK91" s="40"/>
      <c r="AL91" s="46"/>
      <c r="AM91" s="46"/>
      <c r="AN91" s="46"/>
      <c r="AO91" s="46"/>
      <c r="AP91" s="46"/>
    </row>
    <row r="92" spans="1:42">
      <c r="A92" s="39">
        <f t="shared" ref="A92" si="53">A89+1</f>
        <v>30</v>
      </c>
      <c r="B92" s="39"/>
      <c r="C92" s="68"/>
      <c r="D92" s="10" t="s">
        <v>18</v>
      </c>
      <c r="E92" s="11"/>
      <c r="F92" s="11"/>
      <c r="G92" s="11"/>
      <c r="H92" s="11"/>
      <c r="I92" s="11"/>
      <c r="J92" s="11"/>
      <c r="K92" s="11"/>
      <c r="L92" s="11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39">
        <f t="shared" ref="AJ92" si="54">COUNTIFS(E92:AI93,"✓")/2</f>
        <v>0</v>
      </c>
      <c r="AK92" s="39">
        <f t="shared" ref="AK92" si="55">SUM(O94:AG94)</f>
        <v>0</v>
      </c>
      <c r="AL92" s="44">
        <v>230000</v>
      </c>
      <c r="AM92" s="44">
        <v>25000</v>
      </c>
      <c r="AN92" s="44">
        <f t="shared" ref="AN92:AO92" si="56">AL92*AJ92</f>
        <v>0</v>
      </c>
      <c r="AO92" s="44">
        <f t="shared" si="56"/>
        <v>0</v>
      </c>
      <c r="AP92" s="44">
        <f t="shared" ref="AP92" si="57">AL92*AJ92+AM92*AK92</f>
        <v>0</v>
      </c>
    </row>
    <row r="93" spans="1:42">
      <c r="A93" s="40"/>
      <c r="B93" s="40"/>
      <c r="C93" s="68"/>
      <c r="D93" s="10" t="s">
        <v>20</v>
      </c>
      <c r="E93" s="11"/>
      <c r="F93" s="11"/>
      <c r="G93" s="11"/>
      <c r="H93" s="11"/>
      <c r="I93" s="11"/>
      <c r="J93" s="11"/>
      <c r="K93" s="11"/>
      <c r="L93" s="11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40"/>
      <c r="AK93" s="40"/>
      <c r="AL93" s="45"/>
      <c r="AM93" s="45"/>
      <c r="AN93" s="45"/>
      <c r="AO93" s="45"/>
      <c r="AP93" s="45"/>
    </row>
    <row r="94" spans="1:42">
      <c r="A94" s="40"/>
      <c r="B94" s="40"/>
      <c r="C94" s="68"/>
      <c r="D94" s="12" t="s">
        <v>21</v>
      </c>
      <c r="E94" s="11"/>
      <c r="F94" s="11"/>
      <c r="G94" s="11"/>
      <c r="H94" s="11"/>
      <c r="I94" s="11"/>
      <c r="J94" s="11"/>
      <c r="K94" s="11"/>
      <c r="L94" s="11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40"/>
      <c r="AK94" s="40"/>
      <c r="AL94" s="46"/>
      <c r="AM94" s="46"/>
      <c r="AN94" s="46"/>
      <c r="AO94" s="46"/>
      <c r="AP94" s="46"/>
    </row>
    <row r="95" spans="1:42">
      <c r="A95" s="39">
        <f t="shared" ref="A95" si="58">A92+1</f>
        <v>31</v>
      </c>
      <c r="B95" s="39"/>
      <c r="C95" s="68"/>
      <c r="D95" s="10" t="s">
        <v>18</v>
      </c>
      <c r="E95" s="11"/>
      <c r="F95" s="11"/>
      <c r="G95" s="11"/>
      <c r="H95" s="11"/>
      <c r="I95" s="11"/>
      <c r="J95" s="11"/>
      <c r="K95" s="11"/>
      <c r="L95" s="11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39">
        <f t="shared" ref="AJ95" si="59">COUNTIFS(E95:AI96,"✓")/2</f>
        <v>0</v>
      </c>
      <c r="AK95" s="39">
        <f t="shared" ref="AK95" si="60">SUM(O97:AG97)</f>
        <v>0</v>
      </c>
      <c r="AL95" s="44">
        <v>230000</v>
      </c>
      <c r="AM95" s="44">
        <v>25000</v>
      </c>
      <c r="AN95" s="44">
        <f t="shared" ref="AN95:AO95" si="61">AL95*AJ95</f>
        <v>0</v>
      </c>
      <c r="AO95" s="44">
        <f t="shared" si="61"/>
        <v>0</v>
      </c>
      <c r="AP95" s="44">
        <f t="shared" ref="AP95" si="62">AL95*AJ95+AM95*AK95</f>
        <v>0</v>
      </c>
    </row>
    <row r="96" spans="1:42">
      <c r="A96" s="40"/>
      <c r="B96" s="40"/>
      <c r="C96" s="68"/>
      <c r="D96" s="10" t="s">
        <v>20</v>
      </c>
      <c r="E96" s="11"/>
      <c r="F96" s="11"/>
      <c r="G96" s="11"/>
      <c r="H96" s="11"/>
      <c r="I96" s="11"/>
      <c r="J96" s="11"/>
      <c r="K96" s="11"/>
      <c r="L96" s="11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40"/>
      <c r="AK96" s="40"/>
      <c r="AL96" s="45"/>
      <c r="AM96" s="45"/>
      <c r="AN96" s="45"/>
      <c r="AO96" s="45"/>
      <c r="AP96" s="45"/>
    </row>
    <row r="97" spans="1:42">
      <c r="A97" s="40"/>
      <c r="B97" s="40"/>
      <c r="C97" s="75"/>
      <c r="D97" s="12" t="s">
        <v>21</v>
      </c>
      <c r="E97" s="11"/>
      <c r="F97" s="11"/>
      <c r="G97" s="11"/>
      <c r="H97" s="11"/>
      <c r="I97" s="11"/>
      <c r="J97" s="11"/>
      <c r="K97" s="11"/>
      <c r="L97" s="11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40"/>
      <c r="AK97" s="40"/>
      <c r="AL97" s="46"/>
      <c r="AM97" s="46"/>
      <c r="AN97" s="46"/>
      <c r="AO97" s="46"/>
      <c r="AP97" s="46"/>
    </row>
    <row r="98" spans="1:42">
      <c r="A98" s="39">
        <f t="shared" ref="A98:A161" si="63">A95+1</f>
        <v>32</v>
      </c>
      <c r="B98" s="39"/>
      <c r="C98" s="68"/>
      <c r="D98" s="10" t="s">
        <v>18</v>
      </c>
      <c r="E98" s="11"/>
      <c r="F98" s="11"/>
      <c r="G98" s="11"/>
      <c r="H98" s="11"/>
      <c r="I98" s="11"/>
      <c r="J98" s="11"/>
      <c r="K98" s="11"/>
      <c r="L98" s="11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39">
        <f t="shared" ref="AJ98" si="64">COUNTIFS(E98:AI99,"✓")/2</f>
        <v>0</v>
      </c>
      <c r="AK98" s="39">
        <f t="shared" ref="AK98" si="65">SUM(O100:AG100)</f>
        <v>0</v>
      </c>
      <c r="AL98" s="44">
        <v>230000</v>
      </c>
      <c r="AM98" s="44">
        <v>25000</v>
      </c>
      <c r="AN98" s="44">
        <f t="shared" ref="AN98:AO98" si="66">AL98*AJ98</f>
        <v>0</v>
      </c>
      <c r="AO98" s="44">
        <f t="shared" si="66"/>
        <v>0</v>
      </c>
      <c r="AP98" s="44">
        <f t="shared" ref="AP98" si="67">AL98*AJ98+AM98*AK98</f>
        <v>0</v>
      </c>
    </row>
    <row r="99" spans="1:42">
      <c r="A99" s="40"/>
      <c r="B99" s="40"/>
      <c r="C99" s="68"/>
      <c r="D99" s="10" t="s">
        <v>20</v>
      </c>
      <c r="E99" s="11"/>
      <c r="F99" s="11"/>
      <c r="G99" s="11"/>
      <c r="H99" s="11"/>
      <c r="I99" s="11"/>
      <c r="J99" s="11"/>
      <c r="K99" s="11"/>
      <c r="L99" s="11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40"/>
      <c r="AK99" s="40"/>
      <c r="AL99" s="45"/>
      <c r="AM99" s="45"/>
      <c r="AN99" s="45"/>
      <c r="AO99" s="45"/>
      <c r="AP99" s="45"/>
    </row>
    <row r="100" spans="1:42">
      <c r="A100" s="40"/>
      <c r="B100" s="40"/>
      <c r="C100" s="68"/>
      <c r="D100" s="12" t="s">
        <v>21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40"/>
      <c r="AK100" s="40"/>
      <c r="AL100" s="46"/>
      <c r="AM100" s="46"/>
      <c r="AN100" s="46"/>
      <c r="AO100" s="46"/>
      <c r="AP100" s="46"/>
    </row>
    <row r="101" spans="1:42">
      <c r="A101" s="39">
        <f t="shared" ref="A101:A164" si="68">A98+1</f>
        <v>33</v>
      </c>
      <c r="B101" s="39"/>
      <c r="C101" s="68"/>
      <c r="D101" s="10" t="s">
        <v>18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9">
        <f t="shared" ref="AJ101" si="69">COUNTIFS(E101:AI102,"✓")/2</f>
        <v>0</v>
      </c>
      <c r="AK101" s="39">
        <f t="shared" ref="AK101" si="70">SUM(O103:AG103)</f>
        <v>0</v>
      </c>
      <c r="AL101" s="44">
        <v>230000</v>
      </c>
      <c r="AM101" s="44">
        <v>25000</v>
      </c>
      <c r="AN101" s="44">
        <f t="shared" ref="AN101:AO101" si="71">AL101*AJ101</f>
        <v>0</v>
      </c>
      <c r="AO101" s="44">
        <f t="shared" si="71"/>
        <v>0</v>
      </c>
      <c r="AP101" s="44">
        <f t="shared" ref="AP101" si="72">AL101*AJ101+AM101*AK101</f>
        <v>0</v>
      </c>
    </row>
    <row r="102" spans="1:42">
      <c r="A102" s="40"/>
      <c r="B102" s="40"/>
      <c r="C102" s="68"/>
      <c r="D102" s="10" t="s">
        <v>20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40"/>
      <c r="AK102" s="40"/>
      <c r="AL102" s="45"/>
      <c r="AM102" s="45"/>
      <c r="AN102" s="45"/>
      <c r="AO102" s="45"/>
      <c r="AP102" s="45"/>
    </row>
    <row r="103" spans="1:42">
      <c r="A103" s="40"/>
      <c r="B103" s="40"/>
      <c r="C103" s="68"/>
      <c r="D103" s="12" t="s">
        <v>21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40"/>
      <c r="AK103" s="40"/>
      <c r="AL103" s="46"/>
      <c r="AM103" s="46"/>
      <c r="AN103" s="46"/>
      <c r="AO103" s="46"/>
      <c r="AP103" s="46"/>
    </row>
    <row r="104" spans="1:42">
      <c r="A104" s="39">
        <f t="shared" si="63"/>
        <v>34</v>
      </c>
      <c r="B104" s="39"/>
      <c r="C104" s="68"/>
      <c r="D104" s="10" t="s">
        <v>18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39">
        <f t="shared" ref="AJ104" si="73">COUNTIFS(E104:AI105,"✓")/2</f>
        <v>0</v>
      </c>
      <c r="AK104" s="39">
        <f t="shared" ref="AK104" si="74">SUM(O106:AG106)</f>
        <v>0</v>
      </c>
      <c r="AL104" s="44">
        <v>230000</v>
      </c>
      <c r="AM104" s="44">
        <v>25000</v>
      </c>
      <c r="AN104" s="44">
        <f t="shared" ref="AN104:AO104" si="75">AL104*AJ104</f>
        <v>0</v>
      </c>
      <c r="AO104" s="44">
        <f t="shared" si="75"/>
        <v>0</v>
      </c>
      <c r="AP104" s="44">
        <f t="shared" ref="AP104" si="76">AL104*AJ104+AM104*AK104</f>
        <v>0</v>
      </c>
    </row>
    <row r="105" spans="1:42">
      <c r="A105" s="40"/>
      <c r="B105" s="40"/>
      <c r="C105" s="68"/>
      <c r="D105" s="10" t="s">
        <v>20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40"/>
      <c r="AK105" s="40"/>
      <c r="AL105" s="45"/>
      <c r="AM105" s="45"/>
      <c r="AN105" s="45"/>
      <c r="AO105" s="45"/>
      <c r="AP105" s="45"/>
    </row>
    <row r="106" spans="1:42">
      <c r="A106" s="40"/>
      <c r="B106" s="40"/>
      <c r="C106" s="68"/>
      <c r="D106" s="12" t="s">
        <v>21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40"/>
      <c r="AK106" s="40"/>
      <c r="AL106" s="46"/>
      <c r="AM106" s="46"/>
      <c r="AN106" s="46"/>
      <c r="AO106" s="46"/>
      <c r="AP106" s="46"/>
    </row>
    <row r="107" spans="1:42">
      <c r="A107" s="39">
        <f t="shared" si="68"/>
        <v>35</v>
      </c>
      <c r="B107" s="39"/>
      <c r="C107" s="68"/>
      <c r="D107" s="10" t="s">
        <v>18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39">
        <f t="shared" ref="AJ107" si="77">COUNTIFS(E107:AI108,"✓")/2</f>
        <v>0</v>
      </c>
      <c r="AK107" s="39">
        <f t="shared" ref="AK107" si="78">SUM(O109:AG109)</f>
        <v>0</v>
      </c>
      <c r="AL107" s="44">
        <v>230000</v>
      </c>
      <c r="AM107" s="44">
        <v>25000</v>
      </c>
      <c r="AN107" s="44">
        <f t="shared" ref="AN107:AO107" si="79">AL107*AJ107</f>
        <v>0</v>
      </c>
      <c r="AO107" s="44">
        <f t="shared" si="79"/>
        <v>0</v>
      </c>
      <c r="AP107" s="44">
        <f t="shared" ref="AP107" si="80">AL107*AJ107+AM107*AK107</f>
        <v>0</v>
      </c>
    </row>
    <row r="108" spans="1:42">
      <c r="A108" s="40"/>
      <c r="B108" s="40"/>
      <c r="C108" s="68"/>
      <c r="D108" s="10" t="s">
        <v>20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40"/>
      <c r="AK108" s="40"/>
      <c r="AL108" s="45"/>
      <c r="AM108" s="45"/>
      <c r="AN108" s="45"/>
      <c r="AO108" s="45"/>
      <c r="AP108" s="45"/>
    </row>
    <row r="109" spans="1:42">
      <c r="A109" s="40"/>
      <c r="B109" s="40"/>
      <c r="C109" s="68"/>
      <c r="D109" s="12" t="s">
        <v>21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40"/>
      <c r="AK109" s="40"/>
      <c r="AL109" s="46"/>
      <c r="AM109" s="46"/>
      <c r="AN109" s="46"/>
      <c r="AO109" s="46"/>
      <c r="AP109" s="46"/>
    </row>
    <row r="110" spans="1:42">
      <c r="A110" s="39">
        <f t="shared" si="63"/>
        <v>36</v>
      </c>
      <c r="B110" s="39"/>
      <c r="C110" s="68"/>
      <c r="D110" s="10" t="s">
        <v>18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39">
        <f t="shared" ref="AJ110" si="81">COUNTIFS(E110:AI111,"✓")/2</f>
        <v>0</v>
      </c>
      <c r="AK110" s="39">
        <f t="shared" ref="AK110" si="82">SUM(O112:AG112)</f>
        <v>0</v>
      </c>
      <c r="AL110" s="44">
        <v>230000</v>
      </c>
      <c r="AM110" s="44">
        <v>25000</v>
      </c>
      <c r="AN110" s="44">
        <f t="shared" ref="AN110:AO110" si="83">AL110*AJ110</f>
        <v>0</v>
      </c>
      <c r="AO110" s="44">
        <f t="shared" si="83"/>
        <v>0</v>
      </c>
      <c r="AP110" s="44">
        <f t="shared" ref="AP110" si="84">AL110*AJ110+AM110*AK110</f>
        <v>0</v>
      </c>
    </row>
    <row r="111" spans="1:42">
      <c r="A111" s="40"/>
      <c r="B111" s="40"/>
      <c r="C111" s="68"/>
      <c r="D111" s="10" t="s">
        <v>20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40"/>
      <c r="AK111" s="40"/>
      <c r="AL111" s="45"/>
      <c r="AM111" s="45"/>
      <c r="AN111" s="45"/>
      <c r="AO111" s="45"/>
      <c r="AP111" s="45"/>
    </row>
    <row r="112" spans="1:42">
      <c r="A112" s="40"/>
      <c r="B112" s="40"/>
      <c r="C112" s="68"/>
      <c r="D112" s="12" t="s">
        <v>21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40"/>
      <c r="AK112" s="40"/>
      <c r="AL112" s="46"/>
      <c r="AM112" s="46"/>
      <c r="AN112" s="46"/>
      <c r="AO112" s="46"/>
      <c r="AP112" s="46"/>
    </row>
    <row r="113" spans="1:42">
      <c r="A113" s="39">
        <f t="shared" si="68"/>
        <v>37</v>
      </c>
      <c r="B113" s="39"/>
      <c r="C113" s="68"/>
      <c r="D113" s="10" t="s">
        <v>18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39">
        <f t="shared" ref="AJ113" si="85">COUNTIFS(E113:AI114,"✓")/2</f>
        <v>0</v>
      </c>
      <c r="AK113" s="39">
        <f t="shared" ref="AK113" si="86">SUM(O115:AG115)</f>
        <v>0</v>
      </c>
      <c r="AL113" s="44">
        <v>230000</v>
      </c>
      <c r="AM113" s="44">
        <v>25000</v>
      </c>
      <c r="AN113" s="44">
        <f t="shared" ref="AN113:AO113" si="87">AL113*AJ113</f>
        <v>0</v>
      </c>
      <c r="AO113" s="44">
        <f t="shared" si="87"/>
        <v>0</v>
      </c>
      <c r="AP113" s="44">
        <f t="shared" ref="AP113" si="88">AL113*AJ113+AM113*AK113</f>
        <v>0</v>
      </c>
    </row>
    <row r="114" spans="1:42">
      <c r="A114" s="40"/>
      <c r="B114" s="40"/>
      <c r="C114" s="68"/>
      <c r="D114" s="10" t="s">
        <v>20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40"/>
      <c r="AK114" s="40"/>
      <c r="AL114" s="45"/>
      <c r="AM114" s="45"/>
      <c r="AN114" s="45"/>
      <c r="AO114" s="45"/>
      <c r="AP114" s="45"/>
    </row>
    <row r="115" spans="1:42">
      <c r="A115" s="40"/>
      <c r="B115" s="40"/>
      <c r="C115" s="68"/>
      <c r="D115" s="12" t="s">
        <v>21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40"/>
      <c r="AK115" s="40"/>
      <c r="AL115" s="46"/>
      <c r="AM115" s="46"/>
      <c r="AN115" s="46"/>
      <c r="AO115" s="46"/>
      <c r="AP115" s="46"/>
    </row>
    <row r="116" spans="1:42">
      <c r="A116" s="39">
        <f t="shared" si="63"/>
        <v>38</v>
      </c>
      <c r="B116" s="39"/>
      <c r="C116" s="68"/>
      <c r="D116" s="10" t="s">
        <v>18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39">
        <f t="shared" ref="AJ116" si="89">COUNTIFS(E116:AI117,"✓")/2</f>
        <v>0</v>
      </c>
      <c r="AK116" s="39">
        <f t="shared" ref="AK116" si="90">SUM(O118:AG118)</f>
        <v>0</v>
      </c>
      <c r="AL116" s="44">
        <v>230000</v>
      </c>
      <c r="AM116" s="44">
        <v>25000</v>
      </c>
      <c r="AN116" s="44">
        <f t="shared" ref="AN116:AO116" si="91">AL116*AJ116</f>
        <v>0</v>
      </c>
      <c r="AO116" s="44">
        <f t="shared" si="91"/>
        <v>0</v>
      </c>
      <c r="AP116" s="44">
        <f t="shared" ref="AP116" si="92">AL116*AJ116+AM116*AK116</f>
        <v>0</v>
      </c>
    </row>
    <row r="117" spans="1:42">
      <c r="A117" s="40"/>
      <c r="B117" s="40"/>
      <c r="C117" s="68"/>
      <c r="D117" s="10" t="s">
        <v>20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40"/>
      <c r="AK117" s="40"/>
      <c r="AL117" s="45"/>
      <c r="AM117" s="45"/>
      <c r="AN117" s="45"/>
      <c r="AO117" s="45"/>
      <c r="AP117" s="45"/>
    </row>
    <row r="118" spans="1:42">
      <c r="A118" s="40"/>
      <c r="B118" s="40"/>
      <c r="C118" s="68"/>
      <c r="D118" s="12" t="s">
        <v>21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40"/>
      <c r="AK118" s="40"/>
      <c r="AL118" s="46"/>
      <c r="AM118" s="46"/>
      <c r="AN118" s="46"/>
      <c r="AO118" s="46"/>
      <c r="AP118" s="46"/>
    </row>
    <row r="119" spans="1:42">
      <c r="A119" s="39">
        <f t="shared" si="68"/>
        <v>39</v>
      </c>
      <c r="B119" s="39"/>
      <c r="C119" s="68"/>
      <c r="D119" s="10" t="s">
        <v>18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39">
        <f t="shared" ref="AJ119" si="93">COUNTIFS(E119:AI120,"✓")/2</f>
        <v>0</v>
      </c>
      <c r="AK119" s="39">
        <f t="shared" ref="AK119" si="94">SUM(O121:AG121)</f>
        <v>0</v>
      </c>
      <c r="AL119" s="44">
        <v>230000</v>
      </c>
      <c r="AM119" s="44">
        <v>25000</v>
      </c>
      <c r="AN119" s="44">
        <f t="shared" ref="AN119:AO119" si="95">AL119*AJ119</f>
        <v>0</v>
      </c>
      <c r="AO119" s="44">
        <f t="shared" si="95"/>
        <v>0</v>
      </c>
      <c r="AP119" s="44">
        <f t="shared" ref="AP119" si="96">AL119*AJ119+AM119*AK119</f>
        <v>0</v>
      </c>
    </row>
    <row r="120" spans="1:42">
      <c r="A120" s="40"/>
      <c r="B120" s="40"/>
      <c r="C120" s="68"/>
      <c r="D120" s="10" t="s">
        <v>20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40"/>
      <c r="AK120" s="40"/>
      <c r="AL120" s="45"/>
      <c r="AM120" s="45"/>
      <c r="AN120" s="45"/>
      <c r="AO120" s="45"/>
      <c r="AP120" s="45"/>
    </row>
    <row r="121" spans="1:42">
      <c r="A121" s="40"/>
      <c r="B121" s="40"/>
      <c r="C121" s="68"/>
      <c r="D121" s="12" t="s">
        <v>21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40"/>
      <c r="AK121" s="40"/>
      <c r="AL121" s="46"/>
      <c r="AM121" s="46"/>
      <c r="AN121" s="46"/>
      <c r="AO121" s="46"/>
      <c r="AP121" s="46"/>
    </row>
    <row r="122" spans="1:42">
      <c r="A122" s="39">
        <f t="shared" si="63"/>
        <v>40</v>
      </c>
      <c r="B122" s="39"/>
      <c r="C122" s="68"/>
      <c r="D122" s="10" t="s">
        <v>18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39">
        <f t="shared" ref="AJ122" si="97">COUNTIFS(E122:AI123,"✓")/2</f>
        <v>0</v>
      </c>
      <c r="AK122" s="39">
        <f t="shared" ref="AK122" si="98">SUM(O124:AG124)</f>
        <v>0</v>
      </c>
      <c r="AL122" s="44">
        <v>230000</v>
      </c>
      <c r="AM122" s="44">
        <v>25000</v>
      </c>
      <c r="AN122" s="44">
        <f t="shared" ref="AN122:AO122" si="99">AL122*AJ122</f>
        <v>0</v>
      </c>
      <c r="AO122" s="44">
        <f t="shared" si="99"/>
        <v>0</v>
      </c>
      <c r="AP122" s="44">
        <f t="shared" ref="AP122" si="100">AL122*AJ122+AM122*AK122</f>
        <v>0</v>
      </c>
    </row>
    <row r="123" spans="1:42">
      <c r="A123" s="40"/>
      <c r="B123" s="40"/>
      <c r="C123" s="68"/>
      <c r="D123" s="10" t="s">
        <v>20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40"/>
      <c r="AK123" s="40"/>
      <c r="AL123" s="45"/>
      <c r="AM123" s="45"/>
      <c r="AN123" s="45"/>
      <c r="AO123" s="45"/>
      <c r="AP123" s="45"/>
    </row>
    <row r="124" spans="1:42">
      <c r="A124" s="40"/>
      <c r="B124" s="40"/>
      <c r="C124" s="68"/>
      <c r="D124" s="12" t="s">
        <v>21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40"/>
      <c r="AK124" s="40"/>
      <c r="AL124" s="46"/>
      <c r="AM124" s="46"/>
      <c r="AN124" s="46"/>
      <c r="AO124" s="46"/>
      <c r="AP124" s="46"/>
    </row>
    <row r="125" spans="1:42">
      <c r="A125" s="39">
        <f t="shared" si="68"/>
        <v>41</v>
      </c>
      <c r="B125" s="39"/>
      <c r="C125" s="68"/>
      <c r="D125" s="10" t="s">
        <v>18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39">
        <f t="shared" ref="AJ125" si="101">COUNTIFS(E125:AI126,"✓")/2</f>
        <v>0</v>
      </c>
      <c r="AK125" s="39">
        <f t="shared" ref="AK125" si="102">SUM(O127:AG127)</f>
        <v>0</v>
      </c>
      <c r="AL125" s="44">
        <v>230000</v>
      </c>
      <c r="AM125" s="44">
        <v>25000</v>
      </c>
      <c r="AN125" s="44">
        <f t="shared" ref="AN125:AO125" si="103">AL125*AJ125</f>
        <v>0</v>
      </c>
      <c r="AO125" s="44">
        <f t="shared" si="103"/>
        <v>0</v>
      </c>
      <c r="AP125" s="44">
        <f t="shared" ref="AP125" si="104">AL125*AJ125+AM125*AK125</f>
        <v>0</v>
      </c>
    </row>
    <row r="126" spans="1:42">
      <c r="A126" s="40"/>
      <c r="B126" s="40"/>
      <c r="C126" s="68"/>
      <c r="D126" s="10" t="s">
        <v>20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40"/>
      <c r="AK126" s="40"/>
      <c r="AL126" s="45"/>
      <c r="AM126" s="45"/>
      <c r="AN126" s="45"/>
      <c r="AO126" s="45"/>
      <c r="AP126" s="45"/>
    </row>
    <row r="127" spans="1:42">
      <c r="A127" s="40"/>
      <c r="B127" s="40"/>
      <c r="C127" s="68"/>
      <c r="D127" s="12" t="s">
        <v>21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40"/>
      <c r="AK127" s="40"/>
      <c r="AL127" s="46"/>
      <c r="AM127" s="46"/>
      <c r="AN127" s="46"/>
      <c r="AO127" s="46"/>
      <c r="AP127" s="46"/>
    </row>
    <row r="128" spans="1:42">
      <c r="A128" s="39">
        <f t="shared" si="63"/>
        <v>42</v>
      </c>
      <c r="B128" s="39"/>
      <c r="C128" s="68"/>
      <c r="D128" s="10" t="s">
        <v>18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39">
        <f t="shared" ref="AJ128" si="105">COUNTIFS(E128:AI129,"✓")/2</f>
        <v>0</v>
      </c>
      <c r="AK128" s="39">
        <f t="shared" ref="AK128" si="106">SUM(O130:AG130)</f>
        <v>0</v>
      </c>
      <c r="AL128" s="44">
        <v>230000</v>
      </c>
      <c r="AM128" s="44">
        <v>25000</v>
      </c>
      <c r="AN128" s="44">
        <f t="shared" ref="AN128:AO128" si="107">AL128*AJ128</f>
        <v>0</v>
      </c>
      <c r="AO128" s="44">
        <f t="shared" si="107"/>
        <v>0</v>
      </c>
      <c r="AP128" s="44">
        <f t="shared" ref="AP128" si="108">AL128*AJ128+AM128*AK128</f>
        <v>0</v>
      </c>
    </row>
    <row r="129" spans="1:42">
      <c r="A129" s="40"/>
      <c r="B129" s="40"/>
      <c r="C129" s="68"/>
      <c r="D129" s="10" t="s">
        <v>20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40"/>
      <c r="AK129" s="40"/>
      <c r="AL129" s="45"/>
      <c r="AM129" s="45"/>
      <c r="AN129" s="45"/>
      <c r="AO129" s="45"/>
      <c r="AP129" s="45"/>
    </row>
    <row r="130" spans="1:42">
      <c r="A130" s="40"/>
      <c r="B130" s="40"/>
      <c r="C130" s="68"/>
      <c r="D130" s="12" t="s">
        <v>21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40"/>
      <c r="AK130" s="40"/>
      <c r="AL130" s="46"/>
      <c r="AM130" s="46"/>
      <c r="AN130" s="46"/>
      <c r="AO130" s="46"/>
      <c r="AP130" s="46"/>
    </row>
    <row r="131" spans="1:42">
      <c r="A131" s="39">
        <f>A125+1</f>
        <v>42</v>
      </c>
      <c r="B131" s="39"/>
      <c r="C131" s="68"/>
      <c r="D131" s="10" t="s">
        <v>18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39">
        <f t="shared" ref="AJ131" si="109">COUNTIFS(E131:AI132,"✓")/2</f>
        <v>0</v>
      </c>
      <c r="AK131" s="39">
        <f t="shared" ref="AK131" si="110">SUM(O133:AG133)</f>
        <v>0</v>
      </c>
      <c r="AL131" s="44">
        <v>230000</v>
      </c>
      <c r="AM131" s="44">
        <v>25000</v>
      </c>
      <c r="AN131" s="44">
        <f t="shared" ref="AN131:AO131" si="111">AL131*AJ131</f>
        <v>0</v>
      </c>
      <c r="AO131" s="44">
        <f t="shared" si="111"/>
        <v>0</v>
      </c>
      <c r="AP131" s="44">
        <f t="shared" ref="AP131" si="112">AL131*AJ131+AM131*AK131</f>
        <v>0</v>
      </c>
    </row>
    <row r="132" spans="1:42">
      <c r="A132" s="40"/>
      <c r="B132" s="40"/>
      <c r="C132" s="68"/>
      <c r="D132" s="10" t="s">
        <v>20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40"/>
      <c r="AK132" s="40"/>
      <c r="AL132" s="45"/>
      <c r="AM132" s="45"/>
      <c r="AN132" s="45"/>
      <c r="AO132" s="45"/>
      <c r="AP132" s="45"/>
    </row>
    <row r="133" spans="1:42">
      <c r="A133" s="40"/>
      <c r="B133" s="40"/>
      <c r="C133" s="68"/>
      <c r="D133" s="12" t="s">
        <v>21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40"/>
      <c r="AK133" s="40"/>
      <c r="AL133" s="46"/>
      <c r="AM133" s="46"/>
      <c r="AN133" s="46"/>
      <c r="AO133" s="46"/>
      <c r="AP133" s="46"/>
    </row>
    <row r="134" spans="1:42">
      <c r="A134" s="39">
        <f t="shared" si="68"/>
        <v>43</v>
      </c>
      <c r="B134" s="39"/>
      <c r="C134" s="68"/>
      <c r="D134" s="10" t="s">
        <v>18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39">
        <f t="shared" ref="AJ134" si="113">COUNTIFS(E134:AI135,"✓")/2</f>
        <v>0</v>
      </c>
      <c r="AK134" s="39">
        <f t="shared" ref="AK134" si="114">SUM(O136:AG136)</f>
        <v>0</v>
      </c>
      <c r="AL134" s="44">
        <v>230000</v>
      </c>
      <c r="AM134" s="44">
        <v>25000</v>
      </c>
      <c r="AN134" s="44">
        <f t="shared" ref="AN134:AO134" si="115">AL134*AJ134</f>
        <v>0</v>
      </c>
      <c r="AO134" s="44">
        <f t="shared" si="115"/>
        <v>0</v>
      </c>
      <c r="AP134" s="44">
        <f t="shared" ref="AP134" si="116">AL134*AJ134+AM134*AK134</f>
        <v>0</v>
      </c>
    </row>
    <row r="135" spans="1:42">
      <c r="A135" s="40"/>
      <c r="B135" s="40"/>
      <c r="C135" s="68"/>
      <c r="D135" s="10" t="s">
        <v>20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40"/>
      <c r="AK135" s="40"/>
      <c r="AL135" s="45"/>
      <c r="AM135" s="45"/>
      <c r="AN135" s="45"/>
      <c r="AO135" s="45"/>
      <c r="AP135" s="45"/>
    </row>
    <row r="136" spans="1:42">
      <c r="A136" s="40"/>
      <c r="B136" s="40"/>
      <c r="C136" s="68"/>
      <c r="D136" s="12" t="s">
        <v>21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40"/>
      <c r="AK136" s="40"/>
      <c r="AL136" s="46"/>
      <c r="AM136" s="46"/>
      <c r="AN136" s="46"/>
      <c r="AO136" s="46"/>
      <c r="AP136" s="46"/>
    </row>
    <row r="137" spans="1:42">
      <c r="A137" s="39">
        <f t="shared" si="63"/>
        <v>44</v>
      </c>
      <c r="B137" s="39"/>
      <c r="C137" s="68"/>
      <c r="D137" s="10" t="s">
        <v>18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39">
        <f t="shared" ref="AJ137" si="117">COUNTIFS(E137:AI138,"✓")/2</f>
        <v>0</v>
      </c>
      <c r="AK137" s="39">
        <f t="shared" ref="AK137" si="118">SUM(O139:AG139)</f>
        <v>0</v>
      </c>
      <c r="AL137" s="44">
        <v>230000</v>
      </c>
      <c r="AM137" s="44">
        <v>25000</v>
      </c>
      <c r="AN137" s="44">
        <f t="shared" ref="AN137:AO137" si="119">AL137*AJ137</f>
        <v>0</v>
      </c>
      <c r="AO137" s="44">
        <f t="shared" si="119"/>
        <v>0</v>
      </c>
      <c r="AP137" s="44">
        <f t="shared" ref="AP137" si="120">AL137*AJ137+AM137*AK137</f>
        <v>0</v>
      </c>
    </row>
    <row r="138" spans="1:42">
      <c r="A138" s="40"/>
      <c r="B138" s="40"/>
      <c r="C138" s="68"/>
      <c r="D138" s="10" t="s">
        <v>20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40"/>
      <c r="AK138" s="40"/>
      <c r="AL138" s="45"/>
      <c r="AM138" s="45"/>
      <c r="AN138" s="45"/>
      <c r="AO138" s="45"/>
      <c r="AP138" s="45"/>
    </row>
    <row r="139" spans="1:42">
      <c r="A139" s="40"/>
      <c r="B139" s="40"/>
      <c r="C139" s="68"/>
      <c r="D139" s="12" t="s">
        <v>21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40"/>
      <c r="AK139" s="40"/>
      <c r="AL139" s="46"/>
      <c r="AM139" s="46"/>
      <c r="AN139" s="46"/>
      <c r="AO139" s="46"/>
      <c r="AP139" s="46"/>
    </row>
    <row r="140" spans="1:42">
      <c r="A140" s="40"/>
      <c r="B140" s="39"/>
      <c r="C140" s="75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39">
        <f t="shared" ref="AJ140" si="121">COUNTIFS(E140:AI141,"✓")/2</f>
        <v>0</v>
      </c>
      <c r="AK140" s="39">
        <f t="shared" ref="AK140" si="122">SUM(O142:AG142)</f>
        <v>0</v>
      </c>
      <c r="AL140" s="44">
        <v>230000</v>
      </c>
      <c r="AM140" s="44">
        <v>25000</v>
      </c>
      <c r="AN140" s="44">
        <f t="shared" ref="AN140:AO140" si="123">AL140*AJ140</f>
        <v>0</v>
      </c>
      <c r="AO140" s="44">
        <f t="shared" si="123"/>
        <v>0</v>
      </c>
      <c r="AP140" s="44">
        <f t="shared" ref="AP140" si="124">AL140*AJ140+AM140*AK140</f>
        <v>0</v>
      </c>
    </row>
    <row r="141" spans="1:42">
      <c r="A141" s="40"/>
      <c r="B141" s="40"/>
      <c r="C141" s="43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40"/>
      <c r="AK141" s="40"/>
      <c r="AL141" s="45"/>
      <c r="AM141" s="45"/>
      <c r="AN141" s="45"/>
      <c r="AO141" s="45"/>
      <c r="AP141" s="45"/>
    </row>
    <row r="142" spans="1:42">
      <c r="A142" s="41"/>
      <c r="B142" s="40"/>
      <c r="C142" s="76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40"/>
      <c r="AK142" s="40"/>
      <c r="AL142" s="46"/>
      <c r="AM142" s="46"/>
      <c r="AN142" s="46"/>
      <c r="AO142" s="46"/>
      <c r="AP142" s="46"/>
    </row>
    <row r="143" spans="1:42">
      <c r="A143" s="39">
        <f>A137+1</f>
        <v>45</v>
      </c>
      <c r="B143" s="39"/>
      <c r="C143" s="68"/>
      <c r="D143" s="10" t="s">
        <v>18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39">
        <f t="shared" ref="AJ143" si="125">COUNTIFS(E143:AI144,"✓")/2</f>
        <v>0</v>
      </c>
      <c r="AK143" s="39">
        <f t="shared" ref="AK143" si="126">SUM(O145:AG145)</f>
        <v>0</v>
      </c>
      <c r="AL143" s="44">
        <v>230000</v>
      </c>
      <c r="AM143" s="44">
        <v>25000</v>
      </c>
      <c r="AN143" s="44">
        <f t="shared" ref="AN143:AO143" si="127">AL143*AJ143</f>
        <v>0</v>
      </c>
      <c r="AO143" s="44">
        <f t="shared" si="127"/>
        <v>0</v>
      </c>
      <c r="AP143" s="44">
        <f t="shared" ref="AP143" si="128">AL143*AJ143+AM143*AK143</f>
        <v>0</v>
      </c>
    </row>
    <row r="144" spans="1:42">
      <c r="A144" s="40"/>
      <c r="B144" s="40"/>
      <c r="C144" s="68"/>
      <c r="D144" s="10" t="s">
        <v>20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40"/>
      <c r="AK144" s="40"/>
      <c r="AL144" s="45"/>
      <c r="AM144" s="45"/>
      <c r="AN144" s="45"/>
      <c r="AO144" s="45"/>
      <c r="AP144" s="45"/>
    </row>
    <row r="145" spans="1:42">
      <c r="A145" s="40"/>
      <c r="B145" s="40"/>
      <c r="C145" s="68"/>
      <c r="D145" s="12" t="s">
        <v>21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40"/>
      <c r="AK145" s="40"/>
      <c r="AL145" s="46"/>
      <c r="AM145" s="46"/>
      <c r="AN145" s="46"/>
      <c r="AO145" s="46"/>
      <c r="AP145" s="46"/>
    </row>
    <row r="146" spans="1:42">
      <c r="A146" s="39">
        <f t="shared" si="68"/>
        <v>46</v>
      </c>
      <c r="B146" s="39"/>
      <c r="C146" s="68"/>
      <c r="D146" s="10" t="s">
        <v>18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39">
        <f t="shared" ref="AJ146" si="129">COUNTIFS(E146:AI147,"✓")/2</f>
        <v>0</v>
      </c>
      <c r="AK146" s="39">
        <f t="shared" ref="AK146" si="130">SUM(O148:AG148)</f>
        <v>0</v>
      </c>
      <c r="AL146" s="44">
        <v>230000</v>
      </c>
      <c r="AM146" s="44">
        <v>25000</v>
      </c>
      <c r="AN146" s="44">
        <f t="shared" ref="AN146:AO146" si="131">AL146*AJ146</f>
        <v>0</v>
      </c>
      <c r="AO146" s="44">
        <f t="shared" si="131"/>
        <v>0</v>
      </c>
      <c r="AP146" s="44">
        <f t="shared" ref="AP146" si="132">AL146*AJ146+AM146*AK146</f>
        <v>0</v>
      </c>
    </row>
    <row r="147" spans="1:42">
      <c r="A147" s="40"/>
      <c r="B147" s="40"/>
      <c r="C147" s="68"/>
      <c r="D147" s="10" t="s">
        <v>20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40"/>
      <c r="AK147" s="40"/>
      <c r="AL147" s="45"/>
      <c r="AM147" s="45"/>
      <c r="AN147" s="45"/>
      <c r="AO147" s="45"/>
      <c r="AP147" s="45"/>
    </row>
    <row r="148" spans="1:42">
      <c r="A148" s="40"/>
      <c r="B148" s="40"/>
      <c r="C148" s="68"/>
      <c r="D148" s="12" t="s">
        <v>21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40"/>
      <c r="AK148" s="40"/>
      <c r="AL148" s="46"/>
      <c r="AM148" s="46"/>
      <c r="AN148" s="46"/>
      <c r="AO148" s="46"/>
      <c r="AP148" s="46"/>
    </row>
    <row r="149" spans="1:42">
      <c r="A149" s="39">
        <f>A143+1</f>
        <v>46</v>
      </c>
      <c r="B149" s="39"/>
      <c r="C149" s="68"/>
      <c r="D149" s="10" t="s">
        <v>18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39">
        <f t="shared" ref="AJ149" si="133">COUNTIFS(E149:AI150,"✓")/2</f>
        <v>0</v>
      </c>
      <c r="AK149" s="39">
        <f t="shared" ref="AK149" si="134">SUM(O151:AG151)</f>
        <v>0</v>
      </c>
      <c r="AL149" s="44">
        <v>230000</v>
      </c>
      <c r="AM149" s="44">
        <v>25000</v>
      </c>
      <c r="AN149" s="44">
        <f t="shared" ref="AN149:AO149" si="135">AL149*AJ149</f>
        <v>0</v>
      </c>
      <c r="AO149" s="44">
        <f t="shared" si="135"/>
        <v>0</v>
      </c>
      <c r="AP149" s="44">
        <f t="shared" ref="AP149" si="136">AL149*AJ149+AM149*AK149</f>
        <v>0</v>
      </c>
    </row>
    <row r="150" spans="1:42">
      <c r="A150" s="40"/>
      <c r="B150" s="40"/>
      <c r="C150" s="68"/>
      <c r="D150" s="10" t="s">
        <v>20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40"/>
      <c r="AK150" s="40"/>
      <c r="AL150" s="45"/>
      <c r="AM150" s="45"/>
      <c r="AN150" s="45"/>
      <c r="AO150" s="45"/>
      <c r="AP150" s="45"/>
    </row>
    <row r="151" spans="1:42">
      <c r="A151" s="40"/>
      <c r="B151" s="40"/>
      <c r="C151" s="68"/>
      <c r="D151" s="12" t="s">
        <v>21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40"/>
      <c r="AK151" s="40"/>
      <c r="AL151" s="46"/>
      <c r="AM151" s="46"/>
      <c r="AN151" s="46"/>
      <c r="AO151" s="46"/>
      <c r="AP151" s="46"/>
    </row>
    <row r="152" spans="1:42">
      <c r="A152" s="39">
        <f t="shared" si="68"/>
        <v>47</v>
      </c>
      <c r="B152" s="39"/>
      <c r="C152" s="68"/>
      <c r="D152" s="10" t="s">
        <v>18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39">
        <f t="shared" ref="AJ152" si="137">COUNTIFS(E152:AI153,"✓")/2</f>
        <v>0</v>
      </c>
      <c r="AK152" s="39">
        <f t="shared" ref="AK152" si="138">SUM(O154:AG154)</f>
        <v>0</v>
      </c>
      <c r="AL152" s="44">
        <v>230000</v>
      </c>
      <c r="AM152" s="44">
        <v>25000</v>
      </c>
      <c r="AN152" s="44">
        <f t="shared" ref="AN152:AO152" si="139">AL152*AJ152</f>
        <v>0</v>
      </c>
      <c r="AO152" s="44">
        <f t="shared" si="139"/>
        <v>0</v>
      </c>
      <c r="AP152" s="44">
        <f t="shared" ref="AP152" si="140">AL152*AJ152+AM152*AK152</f>
        <v>0</v>
      </c>
    </row>
    <row r="153" spans="1:42">
      <c r="A153" s="40"/>
      <c r="B153" s="40"/>
      <c r="C153" s="68"/>
      <c r="D153" s="10" t="s">
        <v>20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40"/>
      <c r="AK153" s="40"/>
      <c r="AL153" s="45"/>
      <c r="AM153" s="45"/>
      <c r="AN153" s="45"/>
      <c r="AO153" s="45"/>
      <c r="AP153" s="45"/>
    </row>
    <row r="154" spans="1:42">
      <c r="A154" s="40"/>
      <c r="B154" s="40"/>
      <c r="C154" s="68"/>
      <c r="D154" s="12" t="s">
        <v>21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40"/>
      <c r="AK154" s="40"/>
      <c r="AL154" s="46"/>
      <c r="AM154" s="46"/>
      <c r="AN154" s="46"/>
      <c r="AO154" s="46"/>
      <c r="AP154" s="46"/>
    </row>
    <row r="155" spans="1:42">
      <c r="A155" s="39">
        <f>A143+1</f>
        <v>46</v>
      </c>
      <c r="B155" s="39"/>
      <c r="C155" s="68"/>
      <c r="D155" s="10" t="s">
        <v>18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39">
        <f t="shared" ref="AJ155" si="141">COUNTIFS(E155:AI156,"✓")/2</f>
        <v>0</v>
      </c>
      <c r="AK155" s="39">
        <f t="shared" ref="AK155" si="142">SUM(O157:AG157)</f>
        <v>0</v>
      </c>
      <c r="AL155" s="44">
        <v>230000</v>
      </c>
      <c r="AM155" s="44">
        <v>25000</v>
      </c>
      <c r="AN155" s="44">
        <f t="shared" ref="AN155:AO155" si="143">AL155*AJ155</f>
        <v>0</v>
      </c>
      <c r="AO155" s="44">
        <f t="shared" si="143"/>
        <v>0</v>
      </c>
      <c r="AP155" s="44">
        <f t="shared" ref="AP155" si="144">AL155*AJ155+AM155*AK155</f>
        <v>0</v>
      </c>
    </row>
    <row r="156" spans="1:42">
      <c r="A156" s="40"/>
      <c r="B156" s="40"/>
      <c r="C156" s="68"/>
      <c r="D156" s="10" t="s">
        <v>20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40"/>
      <c r="AK156" s="40"/>
      <c r="AL156" s="45"/>
      <c r="AM156" s="45"/>
      <c r="AN156" s="45"/>
      <c r="AO156" s="45"/>
      <c r="AP156" s="45"/>
    </row>
    <row r="157" spans="1:42">
      <c r="A157" s="40"/>
      <c r="B157" s="40"/>
      <c r="C157" s="68"/>
      <c r="D157" s="12" t="s">
        <v>21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40"/>
      <c r="AK157" s="40"/>
      <c r="AL157" s="46"/>
      <c r="AM157" s="46"/>
      <c r="AN157" s="46"/>
      <c r="AO157" s="46"/>
      <c r="AP157" s="46"/>
    </row>
    <row r="158" spans="1:42">
      <c r="A158" s="39">
        <f t="shared" si="68"/>
        <v>47</v>
      </c>
      <c r="B158" s="39"/>
      <c r="C158" s="68"/>
      <c r="D158" s="10" t="s">
        <v>18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39">
        <f t="shared" ref="AJ158" si="145">COUNTIFS(E158:AI159,"✓")/2</f>
        <v>0</v>
      </c>
      <c r="AK158" s="39">
        <f t="shared" ref="AK158" si="146">SUM(O160:AG160)</f>
        <v>0</v>
      </c>
      <c r="AL158" s="44">
        <v>230000</v>
      </c>
      <c r="AM158" s="44">
        <v>25000</v>
      </c>
      <c r="AN158" s="44">
        <f t="shared" ref="AN158:AO158" si="147">AL158*AJ158</f>
        <v>0</v>
      </c>
      <c r="AO158" s="44">
        <f t="shared" si="147"/>
        <v>0</v>
      </c>
      <c r="AP158" s="44">
        <f t="shared" ref="AP158" si="148">AL158*AJ158+AM158*AK158</f>
        <v>0</v>
      </c>
    </row>
    <row r="159" spans="1:42">
      <c r="A159" s="40"/>
      <c r="B159" s="40"/>
      <c r="C159" s="68"/>
      <c r="D159" s="10" t="s">
        <v>20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40"/>
      <c r="AK159" s="40"/>
      <c r="AL159" s="45"/>
      <c r="AM159" s="45"/>
      <c r="AN159" s="45"/>
      <c r="AO159" s="45"/>
      <c r="AP159" s="45"/>
    </row>
    <row r="160" spans="1:42">
      <c r="A160" s="40"/>
      <c r="B160" s="40"/>
      <c r="C160" s="68"/>
      <c r="D160" s="12" t="s">
        <v>21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40"/>
      <c r="AK160" s="40"/>
      <c r="AL160" s="46"/>
      <c r="AM160" s="46"/>
      <c r="AN160" s="46"/>
      <c r="AO160" s="46"/>
      <c r="AP160" s="46"/>
    </row>
    <row r="161" spans="1:42">
      <c r="A161" s="39">
        <f t="shared" si="63"/>
        <v>48</v>
      </c>
      <c r="B161" s="39"/>
      <c r="C161" s="42" t="s">
        <v>24</v>
      </c>
      <c r="D161" s="10" t="s">
        <v>18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39">
        <f>COUNTIFS(E161:AI162,"✓")/2</f>
        <v>0</v>
      </c>
      <c r="AK161" s="39">
        <f t="shared" ref="AK161" si="149">SUM(O163:AG163)</f>
        <v>0</v>
      </c>
      <c r="AL161" s="44">
        <v>230000</v>
      </c>
      <c r="AM161" s="44">
        <v>25000</v>
      </c>
      <c r="AN161" s="44">
        <f>AL161*AJ161</f>
        <v>0</v>
      </c>
      <c r="AO161" s="44">
        <f>AM161*AK161</f>
        <v>0</v>
      </c>
      <c r="AP161" s="44"/>
    </row>
    <row r="162" spans="1:42">
      <c r="A162" s="40"/>
      <c r="B162" s="40"/>
      <c r="C162" s="43"/>
      <c r="D162" s="10" t="s">
        <v>20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40"/>
      <c r="AK162" s="40"/>
      <c r="AL162" s="45"/>
      <c r="AM162" s="45"/>
      <c r="AN162" s="45"/>
      <c r="AO162" s="45"/>
      <c r="AP162" s="45"/>
    </row>
    <row r="163" spans="1:42">
      <c r="A163" s="40"/>
      <c r="B163" s="40"/>
      <c r="C163" s="43"/>
      <c r="D163" s="12" t="s">
        <v>21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40"/>
      <c r="AK163" s="40"/>
      <c r="AL163" s="46"/>
      <c r="AM163" s="46"/>
      <c r="AN163" s="46"/>
      <c r="AO163" s="46"/>
      <c r="AP163" s="46"/>
    </row>
    <row r="164" spans="1:42">
      <c r="A164" s="39">
        <f t="shared" si="68"/>
        <v>49</v>
      </c>
      <c r="B164" s="39"/>
      <c r="C164" s="42" t="s">
        <v>24</v>
      </c>
      <c r="D164" s="10" t="s">
        <v>18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39">
        <f>COUNTIFS(E164:AI165,"✓")/2</f>
        <v>0</v>
      </c>
      <c r="AK164" s="39">
        <f>SUM(N166)</f>
        <v>0</v>
      </c>
      <c r="AL164" s="44">
        <v>230000</v>
      </c>
      <c r="AM164" s="44">
        <v>25000</v>
      </c>
      <c r="AN164" s="44">
        <f>AL164*AJ164</f>
        <v>0</v>
      </c>
      <c r="AO164" s="44">
        <f>AM164*AK164</f>
        <v>0</v>
      </c>
      <c r="AP164" s="44">
        <f t="shared" ref="AP164" si="150">AL164*AJ164+AM164*AK164</f>
        <v>0</v>
      </c>
    </row>
    <row r="165" spans="1:42">
      <c r="A165" s="40"/>
      <c r="B165" s="40"/>
      <c r="C165" s="43"/>
      <c r="D165" s="10" t="s">
        <v>20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40"/>
      <c r="AK165" s="40"/>
      <c r="AL165" s="45"/>
      <c r="AM165" s="45"/>
      <c r="AN165" s="45"/>
      <c r="AO165" s="45"/>
      <c r="AP165" s="45"/>
    </row>
    <row r="166" spans="1:42">
      <c r="A166" s="40"/>
      <c r="B166" s="40"/>
      <c r="C166" s="43"/>
      <c r="D166" s="19" t="s">
        <v>21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40"/>
      <c r="AK166" s="40"/>
      <c r="AL166" s="46"/>
      <c r="AM166" s="46"/>
      <c r="AN166" s="46"/>
      <c r="AO166" s="46"/>
      <c r="AP166" s="46"/>
    </row>
    <row r="167" spans="1:42">
      <c r="A167" s="39">
        <f t="shared" ref="A167" si="151">A164+1</f>
        <v>50</v>
      </c>
      <c r="B167" s="39"/>
      <c r="C167" s="42" t="s">
        <v>24</v>
      </c>
      <c r="D167" s="10" t="s">
        <v>18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39">
        <f t="shared" ref="AJ167" si="152">COUNTIFS(E167:AI168,"✓")/2</f>
        <v>0</v>
      </c>
      <c r="AK167" s="39">
        <f t="shared" ref="AK167" si="153">SUM(N169)</f>
        <v>0</v>
      </c>
      <c r="AL167" s="44">
        <v>230000</v>
      </c>
      <c r="AM167" s="44">
        <v>25000</v>
      </c>
      <c r="AN167" s="44">
        <f t="shared" ref="AN167:AO167" si="154">AL167*AJ167</f>
        <v>0</v>
      </c>
      <c r="AO167" s="44">
        <f t="shared" si="154"/>
        <v>0</v>
      </c>
      <c r="AP167" s="44">
        <f t="shared" ref="AP167" si="155">AL167*AJ167+AM167*AK167</f>
        <v>0</v>
      </c>
    </row>
    <row r="168" spans="1:42">
      <c r="A168" s="40"/>
      <c r="B168" s="40"/>
      <c r="C168" s="43"/>
      <c r="D168" s="10" t="s">
        <v>20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40"/>
      <c r="AK168" s="40"/>
      <c r="AL168" s="45"/>
      <c r="AM168" s="45"/>
      <c r="AN168" s="45"/>
      <c r="AO168" s="45"/>
      <c r="AP168" s="45"/>
    </row>
    <row r="169" spans="1:42">
      <c r="A169" s="40"/>
      <c r="B169" s="40"/>
      <c r="C169" s="43"/>
      <c r="D169" s="19" t="s">
        <v>21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40"/>
      <c r="AK169" s="40"/>
      <c r="AL169" s="46"/>
      <c r="AM169" s="46"/>
      <c r="AN169" s="46"/>
      <c r="AO169" s="46"/>
      <c r="AP169" s="46"/>
    </row>
    <row r="170" spans="1:42">
      <c r="A170" s="39">
        <f t="shared" ref="A170:A227" si="156">A167+1</f>
        <v>51</v>
      </c>
      <c r="B170" s="39"/>
      <c r="C170" s="42" t="s">
        <v>24</v>
      </c>
      <c r="D170" s="10" t="s">
        <v>18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39">
        <f t="shared" ref="AJ170" si="157">COUNTIFS(E170:AI171,"✓")/2</f>
        <v>0</v>
      </c>
      <c r="AK170" s="39">
        <f t="shared" ref="AK170" si="158">SUM(N172)</f>
        <v>0</v>
      </c>
      <c r="AL170" s="44">
        <v>230000</v>
      </c>
      <c r="AM170" s="44">
        <v>25000</v>
      </c>
      <c r="AN170" s="44">
        <f t="shared" ref="AN170:AO170" si="159">AL170*AJ170</f>
        <v>0</v>
      </c>
      <c r="AO170" s="44">
        <f t="shared" si="159"/>
        <v>0</v>
      </c>
      <c r="AP170" s="44">
        <f t="shared" ref="AP170" si="160">AL170*AJ170+AM170*AK170</f>
        <v>0</v>
      </c>
    </row>
    <row r="171" spans="1:42">
      <c r="A171" s="40"/>
      <c r="B171" s="40"/>
      <c r="C171" s="43"/>
      <c r="D171" s="10" t="s">
        <v>20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40"/>
      <c r="AK171" s="40"/>
      <c r="AL171" s="45"/>
      <c r="AM171" s="45"/>
      <c r="AN171" s="45"/>
      <c r="AO171" s="45"/>
      <c r="AP171" s="45"/>
    </row>
    <row r="172" spans="1:42">
      <c r="A172" s="40"/>
      <c r="B172" s="40"/>
      <c r="C172" s="43"/>
      <c r="D172" s="19" t="s">
        <v>21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40"/>
      <c r="AK172" s="40"/>
      <c r="AL172" s="46"/>
      <c r="AM172" s="46"/>
      <c r="AN172" s="46"/>
      <c r="AO172" s="46"/>
      <c r="AP172" s="46"/>
    </row>
    <row r="173" spans="1:42">
      <c r="A173" s="39">
        <f t="shared" si="156"/>
        <v>52</v>
      </c>
      <c r="B173" s="39"/>
      <c r="C173" s="42" t="s">
        <v>24</v>
      </c>
      <c r="D173" s="10" t="s">
        <v>18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39">
        <f t="shared" ref="AJ173" si="161">COUNTIFS(E173:AI174,"✓")/2</f>
        <v>0</v>
      </c>
      <c r="AK173" s="39">
        <f t="shared" ref="AK173" si="162">SUM(N175)</f>
        <v>0</v>
      </c>
      <c r="AL173" s="44">
        <v>230000</v>
      </c>
      <c r="AM173" s="44">
        <v>25000</v>
      </c>
      <c r="AN173" s="44">
        <f t="shared" ref="AN173:AO173" si="163">AL173*AJ173</f>
        <v>0</v>
      </c>
      <c r="AO173" s="44">
        <f t="shared" si="163"/>
        <v>0</v>
      </c>
      <c r="AP173" s="44">
        <f t="shared" ref="AP173" si="164">AL173*AJ173+AM173*AK173</f>
        <v>0</v>
      </c>
    </row>
    <row r="174" spans="1:42">
      <c r="A174" s="40"/>
      <c r="B174" s="40"/>
      <c r="C174" s="43"/>
      <c r="D174" s="10" t="s">
        <v>20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40"/>
      <c r="AK174" s="40"/>
      <c r="AL174" s="45"/>
      <c r="AM174" s="45"/>
      <c r="AN174" s="45"/>
      <c r="AO174" s="45"/>
      <c r="AP174" s="45"/>
    </row>
    <row r="175" spans="1:42">
      <c r="A175" s="40"/>
      <c r="B175" s="40"/>
      <c r="C175" s="43"/>
      <c r="D175" s="19" t="s">
        <v>21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40"/>
      <c r="AK175" s="40"/>
      <c r="AL175" s="46"/>
      <c r="AM175" s="46"/>
      <c r="AN175" s="46"/>
      <c r="AO175" s="46"/>
      <c r="AP175" s="46"/>
    </row>
    <row r="176" spans="1:42">
      <c r="A176" s="39">
        <f t="shared" si="156"/>
        <v>53</v>
      </c>
      <c r="B176" s="39"/>
      <c r="C176" s="42" t="s">
        <v>24</v>
      </c>
      <c r="D176" s="10" t="s">
        <v>18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39">
        <f t="shared" ref="AJ176" si="165">COUNTIFS(E176:AI177,"✓")/2</f>
        <v>0</v>
      </c>
      <c r="AK176" s="39">
        <f t="shared" ref="AK176" si="166">SUM(N178)</f>
        <v>0</v>
      </c>
      <c r="AL176" s="44">
        <v>230000</v>
      </c>
      <c r="AM176" s="44">
        <v>25000</v>
      </c>
      <c r="AN176" s="44">
        <f t="shared" ref="AN176:AO176" si="167">AL176*AJ176</f>
        <v>0</v>
      </c>
      <c r="AO176" s="44">
        <f t="shared" si="167"/>
        <v>0</v>
      </c>
      <c r="AP176" s="44">
        <f t="shared" ref="AP176" si="168">AL176*AJ176+AM176*AK176</f>
        <v>0</v>
      </c>
    </row>
    <row r="177" spans="1:42">
      <c r="A177" s="40"/>
      <c r="B177" s="40"/>
      <c r="C177" s="43"/>
      <c r="D177" s="10" t="s">
        <v>20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40"/>
      <c r="AK177" s="40"/>
      <c r="AL177" s="45"/>
      <c r="AM177" s="45"/>
      <c r="AN177" s="45"/>
      <c r="AO177" s="45"/>
      <c r="AP177" s="45"/>
    </row>
    <row r="178" spans="1:42">
      <c r="A178" s="40"/>
      <c r="B178" s="40"/>
      <c r="C178" s="43"/>
      <c r="D178" s="19" t="s">
        <v>21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40"/>
      <c r="AK178" s="40"/>
      <c r="AL178" s="46"/>
      <c r="AM178" s="46"/>
      <c r="AN178" s="46"/>
      <c r="AO178" s="46"/>
      <c r="AP178" s="46"/>
    </row>
    <row r="179" spans="1:42">
      <c r="A179" s="39">
        <f t="shared" si="156"/>
        <v>54</v>
      </c>
      <c r="B179" s="39"/>
      <c r="C179" s="42" t="s">
        <v>24</v>
      </c>
      <c r="D179" s="10" t="s">
        <v>18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39">
        <f t="shared" ref="AJ179" si="169">COUNTIFS(E179:AI180,"✓")/2</f>
        <v>0</v>
      </c>
      <c r="AK179" s="39">
        <f t="shared" ref="AK179" si="170">SUM(N181)</f>
        <v>0</v>
      </c>
      <c r="AL179" s="44">
        <v>230000</v>
      </c>
      <c r="AM179" s="44">
        <v>25000</v>
      </c>
      <c r="AN179" s="44">
        <f t="shared" ref="AN179:AO179" si="171">AL179*AJ179</f>
        <v>0</v>
      </c>
      <c r="AO179" s="44">
        <f t="shared" si="171"/>
        <v>0</v>
      </c>
      <c r="AP179" s="44">
        <f t="shared" ref="AP179" si="172">AL179*AJ179+AM179*AK179</f>
        <v>0</v>
      </c>
    </row>
    <row r="180" spans="1:42">
      <c r="A180" s="40"/>
      <c r="B180" s="40"/>
      <c r="C180" s="43"/>
      <c r="D180" s="10" t="s">
        <v>20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40"/>
      <c r="AK180" s="40"/>
      <c r="AL180" s="45"/>
      <c r="AM180" s="45"/>
      <c r="AN180" s="45"/>
      <c r="AO180" s="45"/>
      <c r="AP180" s="45"/>
    </row>
    <row r="181" spans="1:42">
      <c r="A181" s="40"/>
      <c r="B181" s="40"/>
      <c r="C181" s="43"/>
      <c r="D181" s="19" t="s">
        <v>21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40"/>
      <c r="AK181" s="40"/>
      <c r="AL181" s="46"/>
      <c r="AM181" s="46"/>
      <c r="AN181" s="46"/>
      <c r="AO181" s="46"/>
      <c r="AP181" s="46"/>
    </row>
    <row r="182" spans="1:42">
      <c r="A182" s="39">
        <f t="shared" si="156"/>
        <v>55</v>
      </c>
      <c r="B182" s="39"/>
      <c r="C182" s="42" t="s">
        <v>24</v>
      </c>
      <c r="D182" s="10" t="s">
        <v>18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39">
        <f t="shared" ref="AJ182" si="173">COUNTIFS(E182:AI183,"✓")/2</f>
        <v>0</v>
      </c>
      <c r="AK182" s="39">
        <f t="shared" ref="AK182" si="174">SUM(N184)</f>
        <v>0</v>
      </c>
      <c r="AL182" s="44">
        <v>230000</v>
      </c>
      <c r="AM182" s="44">
        <v>25000</v>
      </c>
      <c r="AN182" s="44">
        <f t="shared" ref="AN182:AO182" si="175">AL182*AJ182</f>
        <v>0</v>
      </c>
      <c r="AO182" s="44">
        <f t="shared" si="175"/>
        <v>0</v>
      </c>
      <c r="AP182" s="44">
        <f t="shared" ref="AP182" si="176">AL182*AJ182+AM182*AK182</f>
        <v>0</v>
      </c>
    </row>
    <row r="183" spans="1:42">
      <c r="A183" s="40"/>
      <c r="B183" s="40"/>
      <c r="C183" s="43"/>
      <c r="D183" s="10" t="s">
        <v>20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40"/>
      <c r="AK183" s="40"/>
      <c r="AL183" s="45"/>
      <c r="AM183" s="45"/>
      <c r="AN183" s="45"/>
      <c r="AO183" s="45"/>
      <c r="AP183" s="45"/>
    </row>
    <row r="184" spans="1:42">
      <c r="A184" s="40"/>
      <c r="B184" s="40"/>
      <c r="C184" s="43"/>
      <c r="D184" s="19" t="s">
        <v>21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40"/>
      <c r="AK184" s="40"/>
      <c r="AL184" s="46"/>
      <c r="AM184" s="46"/>
      <c r="AN184" s="46"/>
      <c r="AO184" s="46"/>
      <c r="AP184" s="46"/>
    </row>
    <row r="185" spans="1:42">
      <c r="A185" s="39">
        <f t="shared" si="156"/>
        <v>56</v>
      </c>
      <c r="B185" s="39"/>
      <c r="C185" s="42" t="s">
        <v>24</v>
      </c>
      <c r="D185" s="10" t="s">
        <v>18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39">
        <f t="shared" ref="AJ185" si="177">COUNTIFS(E185:AI186,"✓")/2</f>
        <v>0</v>
      </c>
      <c r="AK185" s="39">
        <f t="shared" ref="AK185" si="178">SUM(N187)</f>
        <v>0</v>
      </c>
      <c r="AL185" s="44">
        <v>230000</v>
      </c>
      <c r="AM185" s="44">
        <v>25000</v>
      </c>
      <c r="AN185" s="44">
        <f t="shared" ref="AN185:AO185" si="179">AL185*AJ185</f>
        <v>0</v>
      </c>
      <c r="AO185" s="44">
        <f t="shared" si="179"/>
        <v>0</v>
      </c>
      <c r="AP185" s="44">
        <f t="shared" ref="AP185" si="180">AL185*AJ185+AM185*AK185</f>
        <v>0</v>
      </c>
    </row>
    <row r="186" spans="1:42">
      <c r="A186" s="40"/>
      <c r="B186" s="40"/>
      <c r="C186" s="43"/>
      <c r="D186" s="10" t="s">
        <v>20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40"/>
      <c r="AK186" s="40"/>
      <c r="AL186" s="45"/>
      <c r="AM186" s="45"/>
      <c r="AN186" s="45"/>
      <c r="AO186" s="45"/>
      <c r="AP186" s="45"/>
    </row>
    <row r="187" spans="1:42">
      <c r="A187" s="40"/>
      <c r="B187" s="40"/>
      <c r="C187" s="43"/>
      <c r="D187" s="19" t="s">
        <v>21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40"/>
      <c r="AK187" s="40"/>
      <c r="AL187" s="46"/>
      <c r="AM187" s="46"/>
      <c r="AN187" s="46"/>
      <c r="AO187" s="46"/>
      <c r="AP187" s="46"/>
    </row>
    <row r="188" spans="1:42">
      <c r="A188" s="39">
        <f t="shared" si="156"/>
        <v>57</v>
      </c>
      <c r="B188" s="39"/>
      <c r="C188" s="42" t="s">
        <v>24</v>
      </c>
      <c r="D188" s="10" t="s">
        <v>18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39">
        <f t="shared" ref="AJ188" si="181">COUNTIFS(E188:AI189,"✓")/2</f>
        <v>0</v>
      </c>
      <c r="AK188" s="39">
        <f t="shared" ref="AK188" si="182">SUM(N190)</f>
        <v>0</v>
      </c>
      <c r="AL188" s="44">
        <v>230000</v>
      </c>
      <c r="AM188" s="44">
        <v>25000</v>
      </c>
      <c r="AN188" s="44">
        <f t="shared" ref="AN188:AO188" si="183">AL188*AJ188</f>
        <v>0</v>
      </c>
      <c r="AO188" s="44">
        <f t="shared" si="183"/>
        <v>0</v>
      </c>
      <c r="AP188" s="44">
        <f t="shared" ref="AP188" si="184">AL188*AJ188+AM188*AK188</f>
        <v>0</v>
      </c>
    </row>
    <row r="189" spans="1:42">
      <c r="A189" s="40"/>
      <c r="B189" s="40"/>
      <c r="C189" s="43"/>
      <c r="D189" s="10" t="s">
        <v>20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40"/>
      <c r="AK189" s="40"/>
      <c r="AL189" s="45"/>
      <c r="AM189" s="45"/>
      <c r="AN189" s="45"/>
      <c r="AO189" s="45"/>
      <c r="AP189" s="45"/>
    </row>
    <row r="190" spans="1:42">
      <c r="A190" s="40"/>
      <c r="B190" s="40"/>
      <c r="C190" s="43"/>
      <c r="D190" s="19" t="s">
        <v>21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40"/>
      <c r="AK190" s="40"/>
      <c r="AL190" s="46"/>
      <c r="AM190" s="46"/>
      <c r="AN190" s="46"/>
      <c r="AO190" s="46"/>
      <c r="AP190" s="46"/>
    </row>
    <row r="191" spans="1:42">
      <c r="A191" s="39">
        <f t="shared" si="156"/>
        <v>58</v>
      </c>
      <c r="B191" s="39"/>
      <c r="C191" s="42" t="s">
        <v>24</v>
      </c>
      <c r="D191" s="10" t="s">
        <v>18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39">
        <f t="shared" ref="AJ191" si="185">COUNTIFS(E191:AI192,"✓")/2</f>
        <v>0</v>
      </c>
      <c r="AK191" s="39">
        <f t="shared" ref="AK191" si="186">SUM(N193)</f>
        <v>0</v>
      </c>
      <c r="AL191" s="44">
        <v>230000</v>
      </c>
      <c r="AM191" s="44">
        <v>25000</v>
      </c>
      <c r="AN191" s="44">
        <f t="shared" ref="AN191:AO191" si="187">AL191*AJ191</f>
        <v>0</v>
      </c>
      <c r="AO191" s="44">
        <f t="shared" si="187"/>
        <v>0</v>
      </c>
      <c r="AP191" s="44">
        <f t="shared" ref="AP191" si="188">AL191*AJ191+AM191*AK191</f>
        <v>0</v>
      </c>
    </row>
    <row r="192" spans="1:42">
      <c r="A192" s="40"/>
      <c r="B192" s="40"/>
      <c r="C192" s="43"/>
      <c r="D192" s="10" t="s">
        <v>20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40"/>
      <c r="AK192" s="40"/>
      <c r="AL192" s="45"/>
      <c r="AM192" s="45"/>
      <c r="AN192" s="45"/>
      <c r="AO192" s="45"/>
      <c r="AP192" s="45"/>
    </row>
    <row r="193" spans="1:42">
      <c r="A193" s="40"/>
      <c r="B193" s="40"/>
      <c r="C193" s="43"/>
      <c r="D193" s="19" t="s">
        <v>21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40"/>
      <c r="AK193" s="40"/>
      <c r="AL193" s="46"/>
      <c r="AM193" s="46"/>
      <c r="AN193" s="46"/>
      <c r="AO193" s="46"/>
      <c r="AP193" s="46"/>
    </row>
    <row r="194" spans="1:42">
      <c r="A194" s="39">
        <f t="shared" si="156"/>
        <v>59</v>
      </c>
      <c r="B194" s="39"/>
      <c r="C194" s="42" t="s">
        <v>24</v>
      </c>
      <c r="D194" s="10" t="s">
        <v>18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39">
        <f t="shared" ref="AJ194" si="189">COUNTIFS(E194:AI195,"✓")/2</f>
        <v>0</v>
      </c>
      <c r="AK194" s="39">
        <f t="shared" ref="AK194" si="190">SUM(N196)</f>
        <v>0</v>
      </c>
      <c r="AL194" s="44">
        <v>230000</v>
      </c>
      <c r="AM194" s="44">
        <v>25000</v>
      </c>
      <c r="AN194" s="44">
        <f t="shared" ref="AN194:AO194" si="191">AL194*AJ194</f>
        <v>0</v>
      </c>
      <c r="AO194" s="44">
        <f t="shared" si="191"/>
        <v>0</v>
      </c>
      <c r="AP194" s="44">
        <f t="shared" ref="AP194" si="192">AL194*AJ194+AM194*AK194</f>
        <v>0</v>
      </c>
    </row>
    <row r="195" spans="1:42">
      <c r="A195" s="40"/>
      <c r="B195" s="40"/>
      <c r="C195" s="43"/>
      <c r="D195" s="10" t="s">
        <v>20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40"/>
      <c r="AK195" s="40"/>
      <c r="AL195" s="45"/>
      <c r="AM195" s="45"/>
      <c r="AN195" s="45"/>
      <c r="AO195" s="45"/>
      <c r="AP195" s="45"/>
    </row>
    <row r="196" spans="1:42">
      <c r="A196" s="40"/>
      <c r="B196" s="40"/>
      <c r="C196" s="43"/>
      <c r="D196" s="19" t="s">
        <v>21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40"/>
      <c r="AK196" s="40"/>
      <c r="AL196" s="46"/>
      <c r="AM196" s="46"/>
      <c r="AN196" s="46"/>
      <c r="AO196" s="46"/>
      <c r="AP196" s="46"/>
    </row>
    <row r="197" spans="1:42">
      <c r="A197" s="39">
        <f t="shared" si="156"/>
        <v>60</v>
      </c>
      <c r="B197" s="39"/>
      <c r="C197" s="42" t="s">
        <v>24</v>
      </c>
      <c r="D197" s="10" t="s">
        <v>18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39">
        <f t="shared" ref="AJ197" si="193">COUNTIFS(E197:AI198,"✓")/2</f>
        <v>0</v>
      </c>
      <c r="AK197" s="39">
        <f t="shared" ref="AK197" si="194">SUM(N199)</f>
        <v>0</v>
      </c>
      <c r="AL197" s="44">
        <v>230000</v>
      </c>
      <c r="AM197" s="44">
        <v>25000</v>
      </c>
      <c r="AN197" s="44">
        <f t="shared" ref="AN197:AO197" si="195">AL197*AJ197</f>
        <v>0</v>
      </c>
      <c r="AO197" s="44">
        <f t="shared" si="195"/>
        <v>0</v>
      </c>
      <c r="AP197" s="44">
        <f t="shared" ref="AP197" si="196">AL197*AJ197+AM197*AK197</f>
        <v>0</v>
      </c>
    </row>
    <row r="198" spans="1:42">
      <c r="A198" s="40"/>
      <c r="B198" s="40"/>
      <c r="C198" s="43"/>
      <c r="D198" s="10" t="s">
        <v>20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40"/>
      <c r="AK198" s="40"/>
      <c r="AL198" s="45"/>
      <c r="AM198" s="45"/>
      <c r="AN198" s="45"/>
      <c r="AO198" s="45"/>
      <c r="AP198" s="45"/>
    </row>
    <row r="199" spans="1:42">
      <c r="A199" s="40"/>
      <c r="B199" s="40"/>
      <c r="C199" s="43"/>
      <c r="D199" s="19" t="s">
        <v>21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40"/>
      <c r="AK199" s="40"/>
      <c r="AL199" s="46"/>
      <c r="AM199" s="46"/>
      <c r="AN199" s="46"/>
      <c r="AO199" s="46"/>
      <c r="AP199" s="46"/>
    </row>
    <row r="200" spans="1:42">
      <c r="A200" s="39">
        <f t="shared" si="156"/>
        <v>61</v>
      </c>
      <c r="B200" s="39"/>
      <c r="C200" s="42" t="s">
        <v>24</v>
      </c>
      <c r="D200" s="10" t="s">
        <v>18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39">
        <f t="shared" ref="AJ200" si="197">COUNTIFS(E200:AI201,"✓")/2</f>
        <v>0</v>
      </c>
      <c r="AK200" s="39">
        <f t="shared" ref="AK200" si="198">SUM(N202)</f>
        <v>0</v>
      </c>
      <c r="AL200" s="44">
        <v>230000</v>
      </c>
      <c r="AM200" s="44">
        <v>25000</v>
      </c>
      <c r="AN200" s="44">
        <f t="shared" ref="AN200:AO200" si="199">AL200*AJ200</f>
        <v>0</v>
      </c>
      <c r="AO200" s="44">
        <f t="shared" si="199"/>
        <v>0</v>
      </c>
      <c r="AP200" s="44">
        <f t="shared" ref="AP200" si="200">AL200*AJ200+AM200*AK200</f>
        <v>0</v>
      </c>
    </row>
    <row r="201" spans="1:42">
      <c r="A201" s="40"/>
      <c r="B201" s="40"/>
      <c r="C201" s="43"/>
      <c r="D201" s="10" t="s">
        <v>20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40"/>
      <c r="AK201" s="40"/>
      <c r="AL201" s="45"/>
      <c r="AM201" s="45"/>
      <c r="AN201" s="45"/>
      <c r="AO201" s="45"/>
      <c r="AP201" s="45"/>
    </row>
    <row r="202" spans="1:42">
      <c r="A202" s="40"/>
      <c r="B202" s="40"/>
      <c r="C202" s="43"/>
      <c r="D202" s="19" t="s">
        <v>21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40"/>
      <c r="AK202" s="40"/>
      <c r="AL202" s="46"/>
      <c r="AM202" s="46"/>
      <c r="AN202" s="46"/>
      <c r="AO202" s="46"/>
      <c r="AP202" s="46"/>
    </row>
    <row r="203" spans="1:42">
      <c r="A203" s="39">
        <f t="shared" si="156"/>
        <v>62</v>
      </c>
      <c r="B203" s="39"/>
      <c r="C203" s="42" t="s">
        <v>24</v>
      </c>
      <c r="D203" s="10" t="s">
        <v>18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39">
        <f t="shared" ref="AJ203" si="201">COUNTIFS(E203:AI204,"✓")/2</f>
        <v>0</v>
      </c>
      <c r="AK203" s="39">
        <f t="shared" ref="AK203" si="202">SUM(N205)</f>
        <v>0</v>
      </c>
      <c r="AL203" s="44">
        <v>230000</v>
      </c>
      <c r="AM203" s="44">
        <v>25000</v>
      </c>
      <c r="AN203" s="44">
        <f t="shared" ref="AN203:AO203" si="203">AL203*AJ203</f>
        <v>0</v>
      </c>
      <c r="AO203" s="44">
        <f t="shared" si="203"/>
        <v>0</v>
      </c>
      <c r="AP203" s="44">
        <f t="shared" ref="AP203" si="204">AL203*AJ203+AM203*AK203</f>
        <v>0</v>
      </c>
    </row>
    <row r="204" spans="1:42">
      <c r="A204" s="40"/>
      <c r="B204" s="40"/>
      <c r="C204" s="43"/>
      <c r="D204" s="10" t="s">
        <v>20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40"/>
      <c r="AK204" s="40"/>
      <c r="AL204" s="45"/>
      <c r="AM204" s="45"/>
      <c r="AN204" s="45"/>
      <c r="AO204" s="45"/>
      <c r="AP204" s="45"/>
    </row>
    <row r="205" spans="1:42">
      <c r="A205" s="40"/>
      <c r="B205" s="40"/>
      <c r="C205" s="43"/>
      <c r="D205" s="19" t="s">
        <v>21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40"/>
      <c r="AK205" s="40"/>
      <c r="AL205" s="46"/>
      <c r="AM205" s="46"/>
      <c r="AN205" s="46"/>
      <c r="AO205" s="46"/>
      <c r="AP205" s="46"/>
    </row>
    <row r="206" spans="1:42">
      <c r="A206" s="39">
        <f t="shared" si="156"/>
        <v>63</v>
      </c>
      <c r="B206" s="38"/>
      <c r="C206" s="42" t="s">
        <v>24</v>
      </c>
      <c r="D206" s="10" t="s">
        <v>18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39">
        <f t="shared" ref="AJ206" si="205">COUNTIFS(E206:AI207,"✓")/2</f>
        <v>0</v>
      </c>
      <c r="AK206" s="39">
        <f t="shared" ref="AK206" si="206">SUM(N208)</f>
        <v>0</v>
      </c>
      <c r="AL206" s="44">
        <v>230000</v>
      </c>
      <c r="AM206" s="44">
        <v>25000</v>
      </c>
      <c r="AN206" s="44">
        <f t="shared" ref="AN206:AO206" si="207">AL206*AJ206</f>
        <v>0</v>
      </c>
      <c r="AO206" s="44">
        <f t="shared" si="207"/>
        <v>0</v>
      </c>
      <c r="AP206" s="44">
        <f t="shared" ref="AP206" si="208">AL206*AJ206+AM206*AK206</f>
        <v>0</v>
      </c>
    </row>
    <row r="207" spans="1:42">
      <c r="A207" s="40"/>
      <c r="B207" s="38"/>
      <c r="C207" s="43"/>
      <c r="D207" s="10" t="s">
        <v>20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40"/>
      <c r="AK207" s="40"/>
      <c r="AL207" s="45"/>
      <c r="AM207" s="45"/>
      <c r="AN207" s="45"/>
      <c r="AO207" s="45"/>
      <c r="AP207" s="45"/>
    </row>
    <row r="208" spans="1:42">
      <c r="A208" s="40"/>
      <c r="B208" s="39"/>
      <c r="C208" s="43"/>
      <c r="D208" s="19" t="s">
        <v>21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40"/>
      <c r="AK208" s="40"/>
      <c r="AL208" s="46"/>
      <c r="AM208" s="46"/>
      <c r="AN208" s="46"/>
      <c r="AO208" s="46"/>
      <c r="AP208" s="46"/>
    </row>
    <row r="209" spans="1:42">
      <c r="A209" s="39">
        <f t="shared" si="156"/>
        <v>64</v>
      </c>
      <c r="B209" s="38"/>
      <c r="C209" s="42" t="s">
        <v>24</v>
      </c>
      <c r="D209" s="10" t="s">
        <v>18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39">
        <f t="shared" ref="AJ209" si="209">COUNTIFS(E209:AI210,"✓")/2</f>
        <v>0</v>
      </c>
      <c r="AK209" s="39">
        <f t="shared" ref="AK209" si="210">SUM(N211)</f>
        <v>0</v>
      </c>
      <c r="AL209" s="44">
        <v>230000</v>
      </c>
      <c r="AM209" s="44">
        <v>25000</v>
      </c>
      <c r="AN209" s="44">
        <f t="shared" ref="AN209:AO209" si="211">AL209*AJ209</f>
        <v>0</v>
      </c>
      <c r="AO209" s="44">
        <f t="shared" si="211"/>
        <v>0</v>
      </c>
      <c r="AP209" s="44">
        <f t="shared" ref="AP209" si="212">AL209*AJ209+AM209*AK209</f>
        <v>0</v>
      </c>
    </row>
    <row r="210" spans="1:42">
      <c r="A210" s="40"/>
      <c r="B210" s="38"/>
      <c r="C210" s="43"/>
      <c r="D210" s="10" t="s">
        <v>20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40"/>
      <c r="AK210" s="40"/>
      <c r="AL210" s="45"/>
      <c r="AM210" s="45"/>
      <c r="AN210" s="45"/>
      <c r="AO210" s="45"/>
      <c r="AP210" s="45"/>
    </row>
    <row r="211" spans="1:42">
      <c r="A211" s="40"/>
      <c r="B211" s="39"/>
      <c r="C211" s="43"/>
      <c r="D211" s="19" t="s">
        <v>21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40"/>
      <c r="AK211" s="40"/>
      <c r="AL211" s="46"/>
      <c r="AM211" s="46"/>
      <c r="AN211" s="46"/>
      <c r="AO211" s="46"/>
      <c r="AP211" s="46"/>
    </row>
    <row r="212" spans="1:42">
      <c r="A212" s="39">
        <f t="shared" si="156"/>
        <v>65</v>
      </c>
      <c r="B212" s="38"/>
      <c r="C212" s="42" t="s">
        <v>24</v>
      </c>
      <c r="D212" s="10" t="s">
        <v>18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39">
        <f t="shared" ref="AJ212" si="213">COUNTIFS(E212:AI213,"✓")/2</f>
        <v>0</v>
      </c>
      <c r="AK212" s="39">
        <f t="shared" ref="AK212" si="214">SUM(N214)</f>
        <v>0</v>
      </c>
      <c r="AL212" s="44">
        <v>230000</v>
      </c>
      <c r="AM212" s="44">
        <v>25000</v>
      </c>
      <c r="AN212" s="44">
        <f t="shared" ref="AN212:AO212" si="215">AL212*AJ212</f>
        <v>0</v>
      </c>
      <c r="AO212" s="44">
        <f t="shared" si="215"/>
        <v>0</v>
      </c>
      <c r="AP212" s="44">
        <f t="shared" ref="AP212" si="216">AL212*AJ212+AM212*AK212</f>
        <v>0</v>
      </c>
    </row>
    <row r="213" spans="1:42">
      <c r="A213" s="40"/>
      <c r="B213" s="38"/>
      <c r="C213" s="43"/>
      <c r="D213" s="10" t="s">
        <v>20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40"/>
      <c r="AK213" s="40"/>
      <c r="AL213" s="45"/>
      <c r="AM213" s="45"/>
      <c r="AN213" s="45"/>
      <c r="AO213" s="45"/>
      <c r="AP213" s="45"/>
    </row>
    <row r="214" spans="1:42">
      <c r="A214" s="40"/>
      <c r="B214" s="39"/>
      <c r="C214" s="43"/>
      <c r="D214" s="19" t="s">
        <v>21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40"/>
      <c r="AK214" s="40"/>
      <c r="AL214" s="46"/>
      <c r="AM214" s="46"/>
      <c r="AN214" s="46"/>
      <c r="AO214" s="46"/>
      <c r="AP214" s="46"/>
    </row>
    <row r="215" spans="1:42">
      <c r="A215" s="39">
        <f t="shared" si="156"/>
        <v>66</v>
      </c>
      <c r="B215" s="38"/>
      <c r="C215" s="42" t="s">
        <v>24</v>
      </c>
      <c r="D215" s="10" t="s">
        <v>18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39">
        <f t="shared" ref="AJ215" si="217">COUNTIFS(E215:AI216,"✓")/2</f>
        <v>0</v>
      </c>
      <c r="AK215" s="39">
        <f t="shared" ref="AK215" si="218">SUM(N217)</f>
        <v>0</v>
      </c>
      <c r="AL215" s="44">
        <v>230000</v>
      </c>
      <c r="AM215" s="44">
        <v>25000</v>
      </c>
      <c r="AN215" s="44">
        <f t="shared" ref="AN215:AO215" si="219">AL215*AJ215</f>
        <v>0</v>
      </c>
      <c r="AO215" s="44">
        <f t="shared" si="219"/>
        <v>0</v>
      </c>
      <c r="AP215" s="44">
        <f t="shared" ref="AP215" si="220">AL215*AJ215+AM215*AK215</f>
        <v>0</v>
      </c>
    </row>
    <row r="216" spans="1:42">
      <c r="A216" s="40"/>
      <c r="B216" s="38"/>
      <c r="C216" s="43"/>
      <c r="D216" s="10" t="s">
        <v>20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40"/>
      <c r="AK216" s="40"/>
      <c r="AL216" s="45"/>
      <c r="AM216" s="45"/>
      <c r="AN216" s="45"/>
      <c r="AO216" s="45"/>
      <c r="AP216" s="45"/>
    </row>
    <row r="217" spans="1:42">
      <c r="A217" s="40"/>
      <c r="B217" s="39"/>
      <c r="C217" s="43"/>
      <c r="D217" s="19" t="s">
        <v>21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40"/>
      <c r="AK217" s="40"/>
      <c r="AL217" s="46"/>
      <c r="AM217" s="46"/>
      <c r="AN217" s="46"/>
      <c r="AO217" s="46"/>
      <c r="AP217" s="46"/>
    </row>
    <row r="218" spans="1:42">
      <c r="A218" s="39">
        <f t="shared" si="156"/>
        <v>67</v>
      </c>
      <c r="B218" s="38"/>
      <c r="C218" s="42" t="s">
        <v>24</v>
      </c>
      <c r="D218" s="10" t="s">
        <v>18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39">
        <f t="shared" ref="AJ218" si="221">COUNTIFS(E218:AI219,"✓")/2</f>
        <v>0</v>
      </c>
      <c r="AK218" s="39">
        <f t="shared" ref="AK218" si="222">SUM(N220)</f>
        <v>0</v>
      </c>
      <c r="AL218" s="44">
        <v>230000</v>
      </c>
      <c r="AM218" s="44">
        <v>25000</v>
      </c>
      <c r="AN218" s="44">
        <f t="shared" ref="AN218:AO218" si="223">AL218*AJ218</f>
        <v>0</v>
      </c>
      <c r="AO218" s="44">
        <f t="shared" si="223"/>
        <v>0</v>
      </c>
      <c r="AP218" s="44">
        <f t="shared" ref="AP218" si="224">AL218*AJ218+AM218*AK218</f>
        <v>0</v>
      </c>
    </row>
    <row r="219" spans="1:42">
      <c r="A219" s="40"/>
      <c r="B219" s="38"/>
      <c r="C219" s="43"/>
      <c r="D219" s="10" t="s">
        <v>20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40"/>
      <c r="AK219" s="40"/>
      <c r="AL219" s="45"/>
      <c r="AM219" s="45"/>
      <c r="AN219" s="45"/>
      <c r="AO219" s="45"/>
      <c r="AP219" s="45"/>
    </row>
    <row r="220" spans="1:42">
      <c r="A220" s="40"/>
      <c r="B220" s="39"/>
      <c r="C220" s="43"/>
      <c r="D220" s="19" t="s">
        <v>21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40"/>
      <c r="AK220" s="40"/>
      <c r="AL220" s="46"/>
      <c r="AM220" s="46"/>
      <c r="AN220" s="46"/>
      <c r="AO220" s="46"/>
      <c r="AP220" s="46"/>
    </row>
    <row r="221" spans="1:42">
      <c r="A221" s="39">
        <f t="shared" si="156"/>
        <v>68</v>
      </c>
      <c r="B221" s="38"/>
      <c r="C221" s="42" t="s">
        <v>24</v>
      </c>
      <c r="D221" s="10" t="s">
        <v>18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39">
        <f t="shared" ref="AJ221" si="225">COUNTIFS(E221:AI222,"✓")/2</f>
        <v>0</v>
      </c>
      <c r="AK221" s="39">
        <f t="shared" ref="AK221" si="226">SUM(N223)</f>
        <v>0</v>
      </c>
      <c r="AL221" s="44">
        <v>230000</v>
      </c>
      <c r="AM221" s="44">
        <v>25000</v>
      </c>
      <c r="AN221" s="44">
        <f t="shared" ref="AN221:AO221" si="227">AL221*AJ221</f>
        <v>0</v>
      </c>
      <c r="AO221" s="44">
        <f t="shared" si="227"/>
        <v>0</v>
      </c>
      <c r="AP221" s="44">
        <f t="shared" ref="AP221" si="228">AL221*AJ221+AM221*AK221</f>
        <v>0</v>
      </c>
    </row>
    <row r="222" spans="1:42">
      <c r="A222" s="40"/>
      <c r="B222" s="38"/>
      <c r="C222" s="43"/>
      <c r="D222" s="10" t="s">
        <v>20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40"/>
      <c r="AK222" s="40"/>
      <c r="AL222" s="45"/>
      <c r="AM222" s="45"/>
      <c r="AN222" s="45"/>
      <c r="AO222" s="45"/>
      <c r="AP222" s="45"/>
    </row>
    <row r="223" spans="1:42">
      <c r="A223" s="40"/>
      <c r="B223" s="39"/>
      <c r="C223" s="43"/>
      <c r="D223" s="19" t="s">
        <v>21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40"/>
      <c r="AK223" s="40"/>
      <c r="AL223" s="46"/>
      <c r="AM223" s="46"/>
      <c r="AN223" s="46"/>
      <c r="AO223" s="46"/>
      <c r="AP223" s="46"/>
    </row>
    <row r="224" spans="1:42">
      <c r="A224" s="39">
        <f t="shared" si="156"/>
        <v>69</v>
      </c>
      <c r="B224" s="38"/>
      <c r="C224" s="42" t="s">
        <v>24</v>
      </c>
      <c r="D224" s="10" t="s">
        <v>18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39">
        <f t="shared" ref="AJ224" si="229">COUNTIFS(E224:AI225,"✓")/2</f>
        <v>0</v>
      </c>
      <c r="AK224" s="39">
        <f t="shared" ref="AK224" si="230">SUM(N226)</f>
        <v>0</v>
      </c>
      <c r="AL224" s="44">
        <v>230000</v>
      </c>
      <c r="AM224" s="44">
        <v>25000</v>
      </c>
      <c r="AN224" s="44">
        <f t="shared" ref="AN224:AO224" si="231">AL224*AJ224</f>
        <v>0</v>
      </c>
      <c r="AO224" s="44">
        <f t="shared" si="231"/>
        <v>0</v>
      </c>
      <c r="AP224" s="44">
        <f t="shared" ref="AP224" si="232">AL224*AJ224+AM224*AK224</f>
        <v>0</v>
      </c>
    </row>
    <row r="225" spans="1:42">
      <c r="A225" s="40"/>
      <c r="B225" s="38"/>
      <c r="C225" s="43"/>
      <c r="D225" s="10" t="s">
        <v>20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40"/>
      <c r="AK225" s="40"/>
      <c r="AL225" s="45"/>
      <c r="AM225" s="45"/>
      <c r="AN225" s="45"/>
      <c r="AO225" s="45"/>
      <c r="AP225" s="45"/>
    </row>
    <row r="226" spans="1:42">
      <c r="A226" s="40"/>
      <c r="B226" s="39"/>
      <c r="C226" s="43"/>
      <c r="D226" s="19" t="s">
        <v>21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40"/>
      <c r="AK226" s="40"/>
      <c r="AL226" s="46"/>
      <c r="AM226" s="46"/>
      <c r="AN226" s="46"/>
      <c r="AO226" s="46"/>
      <c r="AP226" s="46"/>
    </row>
    <row r="227" spans="1:42">
      <c r="A227" s="39">
        <f t="shared" si="156"/>
        <v>70</v>
      </c>
      <c r="B227" s="38"/>
      <c r="C227" s="42" t="s">
        <v>24</v>
      </c>
      <c r="D227" s="10" t="s">
        <v>18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39">
        <f t="shared" ref="AJ227" si="233">COUNTIFS(E227:AI228,"✓")/2</f>
        <v>0</v>
      </c>
      <c r="AK227" s="39">
        <f t="shared" ref="AK227" si="234">SUM(N229)</f>
        <v>0</v>
      </c>
      <c r="AL227" s="44">
        <v>230000</v>
      </c>
      <c r="AM227" s="44">
        <v>25000</v>
      </c>
      <c r="AN227" s="44">
        <f t="shared" ref="AN227:AO227" si="235">AL227*AJ227</f>
        <v>0</v>
      </c>
      <c r="AO227" s="44">
        <f t="shared" si="235"/>
        <v>0</v>
      </c>
      <c r="AP227" s="44">
        <f t="shared" ref="AP227" si="236">AL227*AJ227+AM227*AK227</f>
        <v>0</v>
      </c>
    </row>
    <row r="228" spans="1:42">
      <c r="A228" s="40"/>
      <c r="B228" s="38"/>
      <c r="C228" s="43"/>
      <c r="D228" s="10" t="s">
        <v>20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40"/>
      <c r="AK228" s="40"/>
      <c r="AL228" s="45"/>
      <c r="AM228" s="45"/>
      <c r="AN228" s="45"/>
      <c r="AO228" s="45"/>
      <c r="AP228" s="45"/>
    </row>
    <row r="229" spans="1:42">
      <c r="A229" s="40"/>
      <c r="B229" s="39"/>
      <c r="C229" s="43"/>
      <c r="D229" s="19" t="s">
        <v>21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40"/>
      <c r="AK229" s="40"/>
      <c r="AL229" s="46"/>
      <c r="AM229" s="46"/>
      <c r="AN229" s="46"/>
      <c r="AO229" s="46"/>
      <c r="AP229" s="46"/>
    </row>
    <row r="230" spans="1:42">
      <c r="A230" s="38">
        <f t="shared" ref="A230" si="237">A227+1</f>
        <v>71</v>
      </c>
      <c r="B230" s="66"/>
      <c r="C230" s="67" t="s">
        <v>24</v>
      </c>
      <c r="D230" s="10" t="s">
        <v>18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38">
        <f>COUNTIFS(E230:AI231,"✓")/2</f>
        <v>0</v>
      </c>
      <c r="AK230" s="38">
        <f>SUM(N232)</f>
        <v>0</v>
      </c>
      <c r="AL230" s="47">
        <v>230000</v>
      </c>
      <c r="AM230" s="47">
        <v>25000</v>
      </c>
      <c r="AN230" s="47">
        <f>AL230*AJ230</f>
        <v>0</v>
      </c>
      <c r="AO230" s="47">
        <f>AM230*AK230</f>
        <v>0</v>
      </c>
      <c r="AP230" s="47">
        <f t="shared" ref="AP230" si="238">AL230*AJ230+AM230*AK230</f>
        <v>0</v>
      </c>
    </row>
    <row r="231" spans="1:42">
      <c r="A231" s="38"/>
      <c r="B231" s="66"/>
      <c r="C231" s="68"/>
      <c r="D231" s="10" t="s">
        <v>20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38"/>
      <c r="AK231" s="38"/>
      <c r="AL231" s="47"/>
      <c r="AM231" s="47"/>
      <c r="AN231" s="47"/>
      <c r="AO231" s="47"/>
      <c r="AP231" s="47"/>
    </row>
    <row r="232" spans="1:42">
      <c r="A232" s="38"/>
      <c r="B232" s="66"/>
      <c r="C232" s="68"/>
      <c r="D232" s="12" t="s">
        <v>21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38"/>
      <c r="AK232" s="38"/>
      <c r="AL232" s="47"/>
      <c r="AM232" s="47"/>
      <c r="AN232" s="47"/>
      <c r="AO232" s="47"/>
      <c r="AP232" s="47"/>
    </row>
    <row r="233" spans="1:42">
      <c r="A233" s="38">
        <f t="shared" ref="A233" si="239">A230+1</f>
        <v>72</v>
      </c>
      <c r="B233" s="66"/>
      <c r="C233" s="67" t="s">
        <v>24</v>
      </c>
      <c r="D233" s="10" t="s">
        <v>18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38">
        <f>COUNTIFS(E233:AI234,"✓")/2</f>
        <v>0</v>
      </c>
      <c r="AK233" s="38">
        <f>SUM(N235)</f>
        <v>0</v>
      </c>
      <c r="AL233" s="47">
        <v>230000</v>
      </c>
      <c r="AM233" s="47">
        <v>25000</v>
      </c>
      <c r="AN233" s="47">
        <f>AL233*AJ233</f>
        <v>0</v>
      </c>
      <c r="AO233" s="47">
        <f>AM233*AK233</f>
        <v>0</v>
      </c>
      <c r="AP233" s="47">
        <f t="shared" ref="AP233" si="240">AL233*AJ233+AM233*AK233</f>
        <v>0</v>
      </c>
    </row>
    <row r="234" spans="1:42">
      <c r="A234" s="38"/>
      <c r="B234" s="66"/>
      <c r="C234" s="68"/>
      <c r="D234" s="10" t="s">
        <v>20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38"/>
      <c r="AK234" s="38"/>
      <c r="AL234" s="47"/>
      <c r="AM234" s="47"/>
      <c r="AN234" s="47"/>
      <c r="AO234" s="47"/>
      <c r="AP234" s="47"/>
    </row>
    <row r="235" spans="1:42">
      <c r="A235" s="38"/>
      <c r="B235" s="66"/>
      <c r="C235" s="68"/>
      <c r="D235" s="12" t="s">
        <v>21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38"/>
      <c r="AK235" s="38"/>
      <c r="AL235" s="47"/>
      <c r="AM235" s="47"/>
      <c r="AN235" s="47"/>
      <c r="AO235" s="47"/>
      <c r="AP235" s="47"/>
    </row>
    <row r="236" spans="1:42">
      <c r="A236" s="38">
        <f t="shared" ref="A236" si="241">A233+1</f>
        <v>73</v>
      </c>
      <c r="B236" s="66"/>
      <c r="C236" s="67" t="s">
        <v>24</v>
      </c>
      <c r="D236" s="10" t="s">
        <v>18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38">
        <f>COUNTIFS(E236:AI238,"✓")/2</f>
        <v>0</v>
      </c>
      <c r="AK236" s="38">
        <f t="shared" ref="AK236" si="242">SUM(O238:AG238)</f>
        <v>0</v>
      </c>
      <c r="AL236" s="47">
        <v>230000</v>
      </c>
      <c r="AM236" s="47">
        <v>25000</v>
      </c>
      <c r="AN236" s="47">
        <f>AL236*AJ236</f>
        <v>0</v>
      </c>
      <c r="AO236" s="47">
        <f>AM236*AK236</f>
        <v>0</v>
      </c>
      <c r="AP236" s="47">
        <f t="shared" ref="AP236" si="243">AL236*AJ236+AM236*AK236</f>
        <v>0</v>
      </c>
    </row>
    <row r="237" spans="1:42">
      <c r="A237" s="38"/>
      <c r="B237" s="66"/>
      <c r="C237" s="68"/>
      <c r="D237" s="10" t="s">
        <v>20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38"/>
      <c r="AK237" s="38"/>
      <c r="AL237" s="47"/>
      <c r="AM237" s="47"/>
      <c r="AN237" s="47"/>
      <c r="AO237" s="47"/>
      <c r="AP237" s="47"/>
    </row>
    <row r="238" spans="1:42">
      <c r="A238" s="38"/>
      <c r="B238" s="66"/>
      <c r="C238" s="68"/>
      <c r="D238" s="12" t="s">
        <v>21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38"/>
      <c r="AK238" s="38"/>
      <c r="AL238" s="47"/>
      <c r="AM238" s="47"/>
      <c r="AN238" s="47"/>
      <c r="AO238" s="47"/>
      <c r="AP238" s="47"/>
    </row>
    <row r="239" spans="1:42">
      <c r="A239" s="60" t="s">
        <v>27</v>
      </c>
      <c r="B239" s="61"/>
      <c r="C239" s="61"/>
      <c r="D239" s="62"/>
      <c r="E239" s="52">
        <f t="shared" ref="E239:AI239" si="244">COUNTIFS(E5:E238,"✓")/2</f>
        <v>0</v>
      </c>
      <c r="F239" s="52">
        <f t="shared" si="244"/>
        <v>0</v>
      </c>
      <c r="G239" s="52">
        <f t="shared" si="244"/>
        <v>0</v>
      </c>
      <c r="H239" s="52">
        <f t="shared" si="244"/>
        <v>0</v>
      </c>
      <c r="I239" s="52">
        <f t="shared" si="244"/>
        <v>0</v>
      </c>
      <c r="J239" s="52">
        <f t="shared" si="244"/>
        <v>0</v>
      </c>
      <c r="K239" s="56">
        <f t="shared" si="244"/>
        <v>0</v>
      </c>
      <c r="L239" s="52">
        <f t="shared" si="244"/>
        <v>0</v>
      </c>
      <c r="M239" s="52">
        <f t="shared" si="244"/>
        <v>0</v>
      </c>
      <c r="N239" s="52">
        <f t="shared" si="244"/>
        <v>0</v>
      </c>
      <c r="O239" s="52">
        <f t="shared" si="244"/>
        <v>0</v>
      </c>
      <c r="P239" s="52">
        <f t="shared" si="244"/>
        <v>0</v>
      </c>
      <c r="Q239" s="52">
        <f t="shared" si="244"/>
        <v>0</v>
      </c>
      <c r="R239" s="52">
        <f t="shared" si="244"/>
        <v>0</v>
      </c>
      <c r="S239" s="52">
        <f t="shared" si="244"/>
        <v>0</v>
      </c>
      <c r="T239" s="52">
        <f t="shared" si="244"/>
        <v>0</v>
      </c>
      <c r="U239" s="52">
        <f t="shared" si="244"/>
        <v>0</v>
      </c>
      <c r="V239" s="52">
        <f t="shared" si="244"/>
        <v>0</v>
      </c>
      <c r="W239" s="52">
        <f t="shared" si="244"/>
        <v>0</v>
      </c>
      <c r="X239" s="52">
        <f t="shared" si="244"/>
        <v>0</v>
      </c>
      <c r="Y239" s="52">
        <f t="shared" si="244"/>
        <v>0</v>
      </c>
      <c r="Z239" s="52">
        <f t="shared" si="244"/>
        <v>0</v>
      </c>
      <c r="AA239" s="52">
        <f t="shared" si="244"/>
        <v>0</v>
      </c>
      <c r="AB239" s="52">
        <f t="shared" si="244"/>
        <v>0</v>
      </c>
      <c r="AC239" s="52">
        <f t="shared" si="244"/>
        <v>0</v>
      </c>
      <c r="AD239" s="52">
        <f t="shared" si="244"/>
        <v>0</v>
      </c>
      <c r="AE239" s="52">
        <f t="shared" si="244"/>
        <v>0</v>
      </c>
      <c r="AF239" s="52">
        <f t="shared" si="244"/>
        <v>0</v>
      </c>
      <c r="AG239" s="52">
        <f t="shared" si="244"/>
        <v>0</v>
      </c>
      <c r="AH239" s="52">
        <f t="shared" si="244"/>
        <v>0</v>
      </c>
      <c r="AI239" s="52">
        <f t="shared" si="244"/>
        <v>0</v>
      </c>
      <c r="AJ239" s="54">
        <f>SUM(E239:AI240)</f>
        <v>0</v>
      </c>
      <c r="AK239" s="52">
        <f>SUM(AK4:AK238)</f>
        <v>0</v>
      </c>
      <c r="AL239" s="50"/>
      <c r="AM239" s="50"/>
      <c r="AN239" s="50">
        <f>SUM(AN4:AN238)</f>
        <v>0</v>
      </c>
      <c r="AO239" s="50">
        <f>SUM(AO4:AO238)</f>
        <v>0</v>
      </c>
      <c r="AP239" s="50">
        <f>SUM(AP4:AP238)</f>
        <v>0</v>
      </c>
    </row>
    <row r="240" spans="1:42">
      <c r="A240" s="63"/>
      <c r="B240" s="64"/>
      <c r="C240" s="64"/>
      <c r="D240" s="65"/>
      <c r="E240" s="53"/>
      <c r="F240" s="53"/>
      <c r="G240" s="53"/>
      <c r="H240" s="53"/>
      <c r="I240" s="53"/>
      <c r="J240" s="53"/>
      <c r="K240" s="57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5"/>
      <c r="AK240" s="53"/>
      <c r="AL240" s="51"/>
      <c r="AM240" s="51"/>
      <c r="AN240" s="51"/>
      <c r="AO240" s="51"/>
      <c r="AP240" s="51"/>
    </row>
    <row r="241" spans="1:42" ht="1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5"/>
      <c r="AM241" s="15"/>
      <c r="AN241" s="15"/>
      <c r="AO241" s="15"/>
      <c r="AP241" s="15"/>
    </row>
  </sheetData>
  <autoFilter ref="AP3:AP240" xr:uid="{00000000-0009-0000-0000-000000000000}"/>
  <mergeCells count="833">
    <mergeCell ref="AP239:AP240"/>
    <mergeCell ref="AE239:AE240"/>
    <mergeCell ref="AF239:AF240"/>
    <mergeCell ref="AG239:AG240"/>
    <mergeCell ref="AH239:AH240"/>
    <mergeCell ref="AI239:AI240"/>
    <mergeCell ref="AJ239:AJ240"/>
    <mergeCell ref="U239:U240"/>
    <mergeCell ref="V239:V240"/>
    <mergeCell ref="W239:W240"/>
    <mergeCell ref="X239:X240"/>
    <mergeCell ref="AK239:AK240"/>
    <mergeCell ref="AL239:AL240"/>
    <mergeCell ref="AM239:AM240"/>
    <mergeCell ref="AN239:AN240"/>
    <mergeCell ref="AO239:AO240"/>
    <mergeCell ref="M239:M240"/>
    <mergeCell ref="N239:N240"/>
    <mergeCell ref="O239:O240"/>
    <mergeCell ref="P239:P240"/>
    <mergeCell ref="Q239:Q240"/>
    <mergeCell ref="R239:R240"/>
    <mergeCell ref="AP236:AP238"/>
    <mergeCell ref="A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Y239:Y240"/>
    <mergeCell ref="Z239:Z240"/>
    <mergeCell ref="AA239:AA240"/>
    <mergeCell ref="AB239:AB240"/>
    <mergeCell ref="AC239:AC240"/>
    <mergeCell ref="AD239:AD240"/>
    <mergeCell ref="S239:S240"/>
    <mergeCell ref="T239:T240"/>
    <mergeCell ref="A236:A238"/>
    <mergeCell ref="B236:B238"/>
    <mergeCell ref="C236:C238"/>
    <mergeCell ref="AJ236:AJ238"/>
    <mergeCell ref="AK236:AK238"/>
    <mergeCell ref="AL236:AL238"/>
    <mergeCell ref="AM236:AM238"/>
    <mergeCell ref="AN236:AN238"/>
    <mergeCell ref="AO236:AO238"/>
    <mergeCell ref="AP230:AP232"/>
    <mergeCell ref="A233:A235"/>
    <mergeCell ref="B233:B235"/>
    <mergeCell ref="C233:C235"/>
    <mergeCell ref="AJ233:AJ235"/>
    <mergeCell ref="AK233:AK235"/>
    <mergeCell ref="AL233:AL235"/>
    <mergeCell ref="AM233:AM235"/>
    <mergeCell ref="AN233:AN235"/>
    <mergeCell ref="AO233:AO235"/>
    <mergeCell ref="AP233:AP235"/>
    <mergeCell ref="A230:A232"/>
    <mergeCell ref="B230:B232"/>
    <mergeCell ref="C230:C232"/>
    <mergeCell ref="AJ230:AJ232"/>
    <mergeCell ref="AK230:AK232"/>
    <mergeCell ref="AL230:AL232"/>
    <mergeCell ref="AM230:AM232"/>
    <mergeCell ref="AN230:AN232"/>
    <mergeCell ref="AO230:AO232"/>
    <mergeCell ref="AP224:AP226"/>
    <mergeCell ref="A227:A229"/>
    <mergeCell ref="B227:B229"/>
    <mergeCell ref="C227:C229"/>
    <mergeCell ref="AJ227:AJ229"/>
    <mergeCell ref="AK227:AK229"/>
    <mergeCell ref="AL227:AL229"/>
    <mergeCell ref="AM227:AM229"/>
    <mergeCell ref="AN227:AN229"/>
    <mergeCell ref="AO227:AO229"/>
    <mergeCell ref="AP227:AP229"/>
    <mergeCell ref="A224:A226"/>
    <mergeCell ref="B224:B226"/>
    <mergeCell ref="C224:C226"/>
    <mergeCell ref="AJ224:AJ226"/>
    <mergeCell ref="AK224:AK226"/>
    <mergeCell ref="AL224:AL226"/>
    <mergeCell ref="AM224:AM226"/>
    <mergeCell ref="AN224:AN226"/>
    <mergeCell ref="AO224:AO226"/>
    <mergeCell ref="AP218:AP220"/>
    <mergeCell ref="A221:A223"/>
    <mergeCell ref="B221:B223"/>
    <mergeCell ref="C221:C223"/>
    <mergeCell ref="AJ221:AJ223"/>
    <mergeCell ref="AK221:AK223"/>
    <mergeCell ref="AL221:AL223"/>
    <mergeCell ref="AM221:AM223"/>
    <mergeCell ref="AN221:AN223"/>
    <mergeCell ref="AO221:AO223"/>
    <mergeCell ref="AP221:AP223"/>
    <mergeCell ref="A218:A220"/>
    <mergeCell ref="B218:B220"/>
    <mergeCell ref="C218:C220"/>
    <mergeCell ref="AJ218:AJ220"/>
    <mergeCell ref="AK218:AK220"/>
    <mergeCell ref="AL218:AL220"/>
    <mergeCell ref="AM218:AM220"/>
    <mergeCell ref="AN218:AN220"/>
    <mergeCell ref="AO218:AO220"/>
    <mergeCell ref="AP212:AP214"/>
    <mergeCell ref="A215:A217"/>
    <mergeCell ref="B215:B217"/>
    <mergeCell ref="C215:C217"/>
    <mergeCell ref="AJ215:AJ217"/>
    <mergeCell ref="AK215:AK217"/>
    <mergeCell ref="AL215:AL217"/>
    <mergeCell ref="AM215:AM217"/>
    <mergeCell ref="AN215:AN217"/>
    <mergeCell ref="AO215:AO217"/>
    <mergeCell ref="AP215:AP217"/>
    <mergeCell ref="A212:A214"/>
    <mergeCell ref="B212:B214"/>
    <mergeCell ref="C212:C214"/>
    <mergeCell ref="AJ212:AJ214"/>
    <mergeCell ref="AK212:AK214"/>
    <mergeCell ref="AL212:AL214"/>
    <mergeCell ref="AM212:AM214"/>
    <mergeCell ref="AN212:AN214"/>
    <mergeCell ref="AO212:AO214"/>
    <mergeCell ref="AP206:AP208"/>
    <mergeCell ref="A209:A211"/>
    <mergeCell ref="B209:B211"/>
    <mergeCell ref="C209:C211"/>
    <mergeCell ref="AJ209:AJ211"/>
    <mergeCell ref="AK209:AK211"/>
    <mergeCell ref="AL209:AL211"/>
    <mergeCell ref="AM209:AM211"/>
    <mergeCell ref="AN209:AN211"/>
    <mergeCell ref="AO209:AO211"/>
    <mergeCell ref="AP209:AP211"/>
    <mergeCell ref="A206:A208"/>
    <mergeCell ref="B206:B208"/>
    <mergeCell ref="C206:C208"/>
    <mergeCell ref="AJ206:AJ208"/>
    <mergeCell ref="AK206:AK208"/>
    <mergeCell ref="AL206:AL208"/>
    <mergeCell ref="AM206:AM208"/>
    <mergeCell ref="AN206:AN208"/>
    <mergeCell ref="AO206:AO208"/>
    <mergeCell ref="AP200:AP202"/>
    <mergeCell ref="A203:A205"/>
    <mergeCell ref="B203:B205"/>
    <mergeCell ref="C203:C205"/>
    <mergeCell ref="AJ203:AJ205"/>
    <mergeCell ref="AK203:AK205"/>
    <mergeCell ref="AL203:AL205"/>
    <mergeCell ref="AM203:AM205"/>
    <mergeCell ref="AN203:AN205"/>
    <mergeCell ref="AO203:AO205"/>
    <mergeCell ref="AP203:AP205"/>
    <mergeCell ref="A200:A202"/>
    <mergeCell ref="B200:B202"/>
    <mergeCell ref="C200:C202"/>
    <mergeCell ref="AJ200:AJ202"/>
    <mergeCell ref="AK200:AK202"/>
    <mergeCell ref="AL200:AL202"/>
    <mergeCell ref="AM200:AM202"/>
    <mergeCell ref="AN200:AN202"/>
    <mergeCell ref="AO200:AO202"/>
    <mergeCell ref="AP194:AP196"/>
    <mergeCell ref="A197:A199"/>
    <mergeCell ref="B197:B199"/>
    <mergeCell ref="C197:C199"/>
    <mergeCell ref="AJ197:AJ199"/>
    <mergeCell ref="AK197:AK199"/>
    <mergeCell ref="AL197:AL199"/>
    <mergeCell ref="AM197:AM199"/>
    <mergeCell ref="AN197:AN199"/>
    <mergeCell ref="AO197:AO199"/>
    <mergeCell ref="AP197:AP199"/>
    <mergeCell ref="A194:A196"/>
    <mergeCell ref="B194:B196"/>
    <mergeCell ref="C194:C196"/>
    <mergeCell ref="AJ194:AJ196"/>
    <mergeCell ref="AK194:AK196"/>
    <mergeCell ref="AL194:AL196"/>
    <mergeCell ref="AM194:AM196"/>
    <mergeCell ref="AN194:AN196"/>
    <mergeCell ref="AO194:AO196"/>
    <mergeCell ref="AP188:AP190"/>
    <mergeCell ref="A191:A193"/>
    <mergeCell ref="B191:B193"/>
    <mergeCell ref="C191:C193"/>
    <mergeCell ref="AJ191:AJ193"/>
    <mergeCell ref="AK191:AK193"/>
    <mergeCell ref="AL191:AL193"/>
    <mergeCell ref="AM191:AM193"/>
    <mergeCell ref="AN191:AN193"/>
    <mergeCell ref="AO191:AO193"/>
    <mergeCell ref="AP191:AP193"/>
    <mergeCell ref="A188:A190"/>
    <mergeCell ref="B188:B190"/>
    <mergeCell ref="C188:C190"/>
    <mergeCell ref="AJ188:AJ190"/>
    <mergeCell ref="AK188:AK190"/>
    <mergeCell ref="AL188:AL190"/>
    <mergeCell ref="AM188:AM190"/>
    <mergeCell ref="AN188:AN190"/>
    <mergeCell ref="AO188:AO190"/>
    <mergeCell ref="AP182:AP184"/>
    <mergeCell ref="A185:A187"/>
    <mergeCell ref="B185:B187"/>
    <mergeCell ref="C185:C187"/>
    <mergeCell ref="AJ185:AJ187"/>
    <mergeCell ref="AK185:AK187"/>
    <mergeCell ref="AL185:AL187"/>
    <mergeCell ref="AM185:AM187"/>
    <mergeCell ref="AN185:AN187"/>
    <mergeCell ref="AO185:AO187"/>
    <mergeCell ref="AP185:AP187"/>
    <mergeCell ref="A182:A184"/>
    <mergeCell ref="B182:B184"/>
    <mergeCell ref="C182:C184"/>
    <mergeCell ref="AJ182:AJ184"/>
    <mergeCell ref="AK182:AK184"/>
    <mergeCell ref="AL182:AL184"/>
    <mergeCell ref="AM182:AM184"/>
    <mergeCell ref="AN182:AN184"/>
    <mergeCell ref="AO182:AO184"/>
    <mergeCell ref="AP176:AP178"/>
    <mergeCell ref="A179:A181"/>
    <mergeCell ref="B179:B181"/>
    <mergeCell ref="C179:C181"/>
    <mergeCell ref="AJ179:AJ181"/>
    <mergeCell ref="AK179:AK181"/>
    <mergeCell ref="AL179:AL181"/>
    <mergeCell ref="AM179:AM181"/>
    <mergeCell ref="AN179:AN181"/>
    <mergeCell ref="AO179:AO181"/>
    <mergeCell ref="AP179:AP181"/>
    <mergeCell ref="A176:A178"/>
    <mergeCell ref="B176:B178"/>
    <mergeCell ref="C176:C178"/>
    <mergeCell ref="AJ176:AJ178"/>
    <mergeCell ref="AK176:AK178"/>
    <mergeCell ref="AL176:AL178"/>
    <mergeCell ref="AM176:AM178"/>
    <mergeCell ref="AN176:AN178"/>
    <mergeCell ref="AO176:AO178"/>
    <mergeCell ref="AP170:AP172"/>
    <mergeCell ref="A173:A175"/>
    <mergeCell ref="B173:B175"/>
    <mergeCell ref="C173:C175"/>
    <mergeCell ref="AJ173:AJ175"/>
    <mergeCell ref="AK173:AK175"/>
    <mergeCell ref="AL173:AL175"/>
    <mergeCell ref="AM173:AM175"/>
    <mergeCell ref="AN173:AN175"/>
    <mergeCell ref="AO173:AO175"/>
    <mergeCell ref="AP173:AP175"/>
    <mergeCell ref="A170:A172"/>
    <mergeCell ref="B170:B172"/>
    <mergeCell ref="C170:C172"/>
    <mergeCell ref="AJ170:AJ172"/>
    <mergeCell ref="AK170:AK172"/>
    <mergeCell ref="AL170:AL172"/>
    <mergeCell ref="AM170:AM172"/>
    <mergeCell ref="AN170:AN172"/>
    <mergeCell ref="AO170:AO172"/>
    <mergeCell ref="AP164:AP166"/>
    <mergeCell ref="A167:A169"/>
    <mergeCell ref="B167:B169"/>
    <mergeCell ref="C167:C169"/>
    <mergeCell ref="AJ167:AJ169"/>
    <mergeCell ref="AK167:AK169"/>
    <mergeCell ref="AL167:AL169"/>
    <mergeCell ref="AM167:AM169"/>
    <mergeCell ref="AN167:AN169"/>
    <mergeCell ref="AO167:AO169"/>
    <mergeCell ref="AP167:AP169"/>
    <mergeCell ref="A164:A166"/>
    <mergeCell ref="B164:B166"/>
    <mergeCell ref="C164:C166"/>
    <mergeCell ref="AJ164:AJ166"/>
    <mergeCell ref="AK164:AK166"/>
    <mergeCell ref="AL164:AL166"/>
    <mergeCell ref="AM164:AM166"/>
    <mergeCell ref="AN164:AN166"/>
    <mergeCell ref="AO164:AO166"/>
    <mergeCell ref="AP158:AP160"/>
    <mergeCell ref="A161:A163"/>
    <mergeCell ref="B161:B163"/>
    <mergeCell ref="C161:C163"/>
    <mergeCell ref="AJ161:AJ163"/>
    <mergeCell ref="AK161:AK163"/>
    <mergeCell ref="AL161:AL163"/>
    <mergeCell ref="AM161:AM163"/>
    <mergeCell ref="AN161:AN163"/>
    <mergeCell ref="AO161:AO163"/>
    <mergeCell ref="AP161:AP163"/>
    <mergeCell ref="A158:A160"/>
    <mergeCell ref="B158:B160"/>
    <mergeCell ref="C158:C160"/>
    <mergeCell ref="AJ158:AJ160"/>
    <mergeCell ref="AK158:AK160"/>
    <mergeCell ref="AL158:AL160"/>
    <mergeCell ref="AM158:AM160"/>
    <mergeCell ref="AN158:AN160"/>
    <mergeCell ref="AO158:AO160"/>
    <mergeCell ref="AP152:AP154"/>
    <mergeCell ref="A155:A157"/>
    <mergeCell ref="B155:B157"/>
    <mergeCell ref="C155:C157"/>
    <mergeCell ref="AJ155:AJ157"/>
    <mergeCell ref="AK155:AK157"/>
    <mergeCell ref="AL155:AL157"/>
    <mergeCell ref="AM155:AM157"/>
    <mergeCell ref="AN155:AN157"/>
    <mergeCell ref="AO155:AO157"/>
    <mergeCell ref="AP155:AP157"/>
    <mergeCell ref="A152:A154"/>
    <mergeCell ref="B152:B154"/>
    <mergeCell ref="C152:C154"/>
    <mergeCell ref="AJ152:AJ154"/>
    <mergeCell ref="AK152:AK154"/>
    <mergeCell ref="AL152:AL154"/>
    <mergeCell ref="AM152:AM154"/>
    <mergeCell ref="AN152:AN154"/>
    <mergeCell ref="AO152:AO154"/>
    <mergeCell ref="AP146:AP148"/>
    <mergeCell ref="A149:A151"/>
    <mergeCell ref="B149:B151"/>
    <mergeCell ref="C149:C151"/>
    <mergeCell ref="AJ149:AJ151"/>
    <mergeCell ref="AK149:AK151"/>
    <mergeCell ref="AL149:AL151"/>
    <mergeCell ref="AM149:AM151"/>
    <mergeCell ref="AN149:AN151"/>
    <mergeCell ref="AO149:AO151"/>
    <mergeCell ref="AP149:AP151"/>
    <mergeCell ref="A146:A148"/>
    <mergeCell ref="B146:B148"/>
    <mergeCell ref="C146:C148"/>
    <mergeCell ref="AJ146:AJ148"/>
    <mergeCell ref="AK146:AK148"/>
    <mergeCell ref="AL146:AL148"/>
    <mergeCell ref="AM146:AM148"/>
    <mergeCell ref="AN146:AN148"/>
    <mergeCell ref="AO146:AO148"/>
    <mergeCell ref="AP140:AP142"/>
    <mergeCell ref="A143:A145"/>
    <mergeCell ref="B143:B145"/>
    <mergeCell ref="C143:C145"/>
    <mergeCell ref="AJ143:AJ145"/>
    <mergeCell ref="AK143:AK145"/>
    <mergeCell ref="AL143:AL145"/>
    <mergeCell ref="AM143:AM145"/>
    <mergeCell ref="AN143:AN145"/>
    <mergeCell ref="AO143:AO145"/>
    <mergeCell ref="AP143:AP145"/>
    <mergeCell ref="A140:A142"/>
    <mergeCell ref="B140:B142"/>
    <mergeCell ref="C140:C142"/>
    <mergeCell ref="AJ140:AJ142"/>
    <mergeCell ref="AK140:AK142"/>
    <mergeCell ref="AL140:AL142"/>
    <mergeCell ref="AM140:AM142"/>
    <mergeCell ref="AN140:AN142"/>
    <mergeCell ref="AO140:AO142"/>
    <mergeCell ref="AP134:AP136"/>
    <mergeCell ref="A137:A139"/>
    <mergeCell ref="B137:B139"/>
    <mergeCell ref="C137:C139"/>
    <mergeCell ref="AJ137:AJ139"/>
    <mergeCell ref="AK137:AK139"/>
    <mergeCell ref="AL137:AL139"/>
    <mergeCell ref="AM137:AM139"/>
    <mergeCell ref="AN137:AN139"/>
    <mergeCell ref="AO137:AO139"/>
    <mergeCell ref="AP137:AP139"/>
    <mergeCell ref="A134:A136"/>
    <mergeCell ref="B134:B136"/>
    <mergeCell ref="C134:C136"/>
    <mergeCell ref="AJ134:AJ136"/>
    <mergeCell ref="AK134:AK136"/>
    <mergeCell ref="AL134:AL136"/>
    <mergeCell ref="AM134:AM136"/>
    <mergeCell ref="AN134:AN136"/>
    <mergeCell ref="AO134:AO136"/>
    <mergeCell ref="AP128:AP130"/>
    <mergeCell ref="A131:A133"/>
    <mergeCell ref="B131:B133"/>
    <mergeCell ref="C131:C133"/>
    <mergeCell ref="AJ131:AJ133"/>
    <mergeCell ref="AK131:AK133"/>
    <mergeCell ref="AL131:AL133"/>
    <mergeCell ref="AM131:AM133"/>
    <mergeCell ref="AN131:AN133"/>
    <mergeCell ref="AO131:AO133"/>
    <mergeCell ref="AP131:AP133"/>
    <mergeCell ref="A128:A130"/>
    <mergeCell ref="B128:B130"/>
    <mergeCell ref="C128:C130"/>
    <mergeCell ref="AJ128:AJ130"/>
    <mergeCell ref="AK128:AK130"/>
    <mergeCell ref="AL128:AL130"/>
    <mergeCell ref="AM128:AM130"/>
    <mergeCell ref="AN128:AN130"/>
    <mergeCell ref="AO128:AO130"/>
    <mergeCell ref="AP122:AP124"/>
    <mergeCell ref="A125:A127"/>
    <mergeCell ref="B125:B127"/>
    <mergeCell ref="C125:C127"/>
    <mergeCell ref="AJ125:AJ127"/>
    <mergeCell ref="AK125:AK127"/>
    <mergeCell ref="AL125:AL127"/>
    <mergeCell ref="AM125:AM127"/>
    <mergeCell ref="AN125:AN127"/>
    <mergeCell ref="AO125:AO127"/>
    <mergeCell ref="AP125:AP127"/>
    <mergeCell ref="A122:A124"/>
    <mergeCell ref="B122:B124"/>
    <mergeCell ref="C122:C124"/>
    <mergeCell ref="AJ122:AJ124"/>
    <mergeCell ref="AK122:AK124"/>
    <mergeCell ref="AL122:AL124"/>
    <mergeCell ref="AM122:AM124"/>
    <mergeCell ref="AN122:AN124"/>
    <mergeCell ref="AO122:AO124"/>
    <mergeCell ref="AP116:AP118"/>
    <mergeCell ref="A119:A121"/>
    <mergeCell ref="B119:B121"/>
    <mergeCell ref="C119:C121"/>
    <mergeCell ref="AJ119:AJ121"/>
    <mergeCell ref="AK119:AK121"/>
    <mergeCell ref="AL119:AL121"/>
    <mergeCell ref="AM119:AM121"/>
    <mergeCell ref="AN119:AN121"/>
    <mergeCell ref="AO119:AO121"/>
    <mergeCell ref="AP119:AP121"/>
    <mergeCell ref="A116:A118"/>
    <mergeCell ref="B116:B118"/>
    <mergeCell ref="C116:C118"/>
    <mergeCell ref="AJ116:AJ118"/>
    <mergeCell ref="AK116:AK118"/>
    <mergeCell ref="AL116:AL118"/>
    <mergeCell ref="AM116:AM118"/>
    <mergeCell ref="AN116:AN118"/>
    <mergeCell ref="AO116:AO118"/>
    <mergeCell ref="AP110:AP112"/>
    <mergeCell ref="A113:A115"/>
    <mergeCell ref="B113:B115"/>
    <mergeCell ref="C113:C115"/>
    <mergeCell ref="AJ113:AJ115"/>
    <mergeCell ref="AK113:AK115"/>
    <mergeCell ref="AL113:AL115"/>
    <mergeCell ref="AM113:AM115"/>
    <mergeCell ref="AN113:AN115"/>
    <mergeCell ref="AO113:AO115"/>
    <mergeCell ref="AP113:AP115"/>
    <mergeCell ref="A110:A112"/>
    <mergeCell ref="B110:B112"/>
    <mergeCell ref="C110:C112"/>
    <mergeCell ref="AJ110:AJ112"/>
    <mergeCell ref="AK110:AK112"/>
    <mergeCell ref="AL110:AL112"/>
    <mergeCell ref="AM110:AM112"/>
    <mergeCell ref="AN110:AN112"/>
    <mergeCell ref="AO110:AO112"/>
    <mergeCell ref="AP104:AP106"/>
    <mergeCell ref="A107:A109"/>
    <mergeCell ref="B107:B109"/>
    <mergeCell ref="C107:C109"/>
    <mergeCell ref="AJ107:AJ109"/>
    <mergeCell ref="AK107:AK109"/>
    <mergeCell ref="AL107:AL109"/>
    <mergeCell ref="AM107:AM109"/>
    <mergeCell ref="AN107:AN109"/>
    <mergeCell ref="AO107:AO109"/>
    <mergeCell ref="AP107:AP109"/>
    <mergeCell ref="A104:A106"/>
    <mergeCell ref="B104:B106"/>
    <mergeCell ref="C104:C106"/>
    <mergeCell ref="AJ104:AJ106"/>
    <mergeCell ref="AK104:AK106"/>
    <mergeCell ref="AL104:AL106"/>
    <mergeCell ref="AM104:AM106"/>
    <mergeCell ref="AN104:AN106"/>
    <mergeCell ref="AO104:AO106"/>
    <mergeCell ref="AP98:AP100"/>
    <mergeCell ref="A101:A103"/>
    <mergeCell ref="B101:B103"/>
    <mergeCell ref="C101:C103"/>
    <mergeCell ref="AJ101:AJ103"/>
    <mergeCell ref="AK101:AK103"/>
    <mergeCell ref="AL101:AL103"/>
    <mergeCell ref="AM101:AM103"/>
    <mergeCell ref="AN101:AN103"/>
    <mergeCell ref="AO101:AO103"/>
    <mergeCell ref="AP101:AP103"/>
    <mergeCell ref="A98:A100"/>
    <mergeCell ref="B98:B100"/>
    <mergeCell ref="C98:C100"/>
    <mergeCell ref="AJ98:AJ100"/>
    <mergeCell ref="AK98:AK100"/>
    <mergeCell ref="AL98:AL100"/>
    <mergeCell ref="AM98:AM100"/>
    <mergeCell ref="AN98:AN100"/>
    <mergeCell ref="AO98:AO100"/>
    <mergeCell ref="AP92:AP94"/>
    <mergeCell ref="A95:A97"/>
    <mergeCell ref="B95:B97"/>
    <mergeCell ref="C95:C97"/>
    <mergeCell ref="AJ95:AJ97"/>
    <mergeCell ref="AK95:AK97"/>
    <mergeCell ref="AL95:AL97"/>
    <mergeCell ref="AM95:AM97"/>
    <mergeCell ref="AN95:AN97"/>
    <mergeCell ref="AO95:AO97"/>
    <mergeCell ref="AP95:AP97"/>
    <mergeCell ref="A92:A94"/>
    <mergeCell ref="B92:B94"/>
    <mergeCell ref="C92:C94"/>
    <mergeCell ref="AJ92:AJ94"/>
    <mergeCell ref="AK92:AK94"/>
    <mergeCell ref="AL92:AL94"/>
    <mergeCell ref="AM92:AM94"/>
    <mergeCell ref="AN92:AN94"/>
    <mergeCell ref="AO92:AO94"/>
    <mergeCell ref="AP86:AP88"/>
    <mergeCell ref="A89:A91"/>
    <mergeCell ref="B89:B91"/>
    <mergeCell ref="C89:C91"/>
    <mergeCell ref="AJ89:AJ91"/>
    <mergeCell ref="AK89:AK91"/>
    <mergeCell ref="AL89:AL91"/>
    <mergeCell ref="AM89:AM91"/>
    <mergeCell ref="AN89:AN91"/>
    <mergeCell ref="AO89:AO91"/>
    <mergeCell ref="AP89:AP91"/>
    <mergeCell ref="A86:A88"/>
    <mergeCell ref="B86:B88"/>
    <mergeCell ref="C86:C88"/>
    <mergeCell ref="AJ86:AJ88"/>
    <mergeCell ref="AK86:AK88"/>
    <mergeCell ref="AL86:AL88"/>
    <mergeCell ref="AM86:AM88"/>
    <mergeCell ref="AN86:AN88"/>
    <mergeCell ref="AO86:AO88"/>
    <mergeCell ref="AP80:AP82"/>
    <mergeCell ref="A83:A85"/>
    <mergeCell ref="B83:B85"/>
    <mergeCell ref="C83:C85"/>
    <mergeCell ref="AJ83:AJ85"/>
    <mergeCell ref="AK83:AK85"/>
    <mergeCell ref="AL83:AL85"/>
    <mergeCell ref="AM83:AM85"/>
    <mergeCell ref="AN83:AN85"/>
    <mergeCell ref="AO83:AO85"/>
    <mergeCell ref="AP83:AP85"/>
    <mergeCell ref="A80:A82"/>
    <mergeCell ref="B80:B82"/>
    <mergeCell ref="C80:C82"/>
    <mergeCell ref="AJ80:AJ82"/>
    <mergeCell ref="AK80:AK82"/>
    <mergeCell ref="AL80:AL82"/>
    <mergeCell ref="AM80:AM82"/>
    <mergeCell ref="AN80:AN82"/>
    <mergeCell ref="AO80:AO82"/>
    <mergeCell ref="AP74:AP76"/>
    <mergeCell ref="A77:A79"/>
    <mergeCell ref="B77:B79"/>
    <mergeCell ref="C77:C79"/>
    <mergeCell ref="AJ77:AJ79"/>
    <mergeCell ref="AK77:AK79"/>
    <mergeCell ref="AL77:AL79"/>
    <mergeCell ref="AM77:AM79"/>
    <mergeCell ref="AN77:AN79"/>
    <mergeCell ref="AO77:AO79"/>
    <mergeCell ref="AP77:AP79"/>
    <mergeCell ref="A74:A76"/>
    <mergeCell ref="B74:B76"/>
    <mergeCell ref="C74:C76"/>
    <mergeCell ref="AJ74:AJ76"/>
    <mergeCell ref="AK74:AK76"/>
    <mergeCell ref="AL74:AL76"/>
    <mergeCell ref="AM74:AM76"/>
    <mergeCell ref="AN74:AN76"/>
    <mergeCell ref="AO74:AO76"/>
    <mergeCell ref="AP68:AP70"/>
    <mergeCell ref="A71:A73"/>
    <mergeCell ref="B71:B73"/>
    <mergeCell ref="C71:C73"/>
    <mergeCell ref="AJ71:AJ73"/>
    <mergeCell ref="AK71:AK73"/>
    <mergeCell ref="AL71:AL73"/>
    <mergeCell ref="AM71:AM73"/>
    <mergeCell ref="AN71:AN73"/>
    <mergeCell ref="AO71:AO73"/>
    <mergeCell ref="AP71:AP73"/>
    <mergeCell ref="A68:A70"/>
    <mergeCell ref="B68:B70"/>
    <mergeCell ref="C68:C70"/>
    <mergeCell ref="AJ68:AJ70"/>
    <mergeCell ref="AK68:AK70"/>
    <mergeCell ref="AL68:AL70"/>
    <mergeCell ref="AM68:AM70"/>
    <mergeCell ref="AN68:AN70"/>
    <mergeCell ref="AO68:AO70"/>
    <mergeCell ref="AP62:AP64"/>
    <mergeCell ref="A65:A67"/>
    <mergeCell ref="B65:B67"/>
    <mergeCell ref="C65:C67"/>
    <mergeCell ref="AJ65:AJ67"/>
    <mergeCell ref="AK65:AK67"/>
    <mergeCell ref="AL65:AL67"/>
    <mergeCell ref="AM65:AM67"/>
    <mergeCell ref="AN65:AN67"/>
    <mergeCell ref="AO65:AO67"/>
    <mergeCell ref="AP65:AP67"/>
    <mergeCell ref="A62:A64"/>
    <mergeCell ref="B62:B64"/>
    <mergeCell ref="C62:C64"/>
    <mergeCell ref="AJ62:AJ64"/>
    <mergeCell ref="AK62:AK64"/>
    <mergeCell ref="AL62:AL64"/>
    <mergeCell ref="AM62:AM64"/>
    <mergeCell ref="AN62:AN64"/>
    <mergeCell ref="AO62:AO64"/>
    <mergeCell ref="AP56:AP58"/>
    <mergeCell ref="A59:A61"/>
    <mergeCell ref="B59:B61"/>
    <mergeCell ref="C59:C61"/>
    <mergeCell ref="AJ59:AJ61"/>
    <mergeCell ref="AK59:AK61"/>
    <mergeCell ref="AL59:AL61"/>
    <mergeCell ref="AM59:AM61"/>
    <mergeCell ref="AN59:AN61"/>
    <mergeCell ref="AO59:AO61"/>
    <mergeCell ref="AP59:AP61"/>
    <mergeCell ref="A56:A58"/>
    <mergeCell ref="B56:B58"/>
    <mergeCell ref="C56:C58"/>
    <mergeCell ref="AJ56:AJ58"/>
    <mergeCell ref="AK56:AK58"/>
    <mergeCell ref="AL56:AL58"/>
    <mergeCell ref="AM56:AM58"/>
    <mergeCell ref="AN56:AN58"/>
    <mergeCell ref="AO56:AO58"/>
    <mergeCell ref="AP50:AP52"/>
    <mergeCell ref="A53:A55"/>
    <mergeCell ref="B53:B55"/>
    <mergeCell ref="C53:C55"/>
    <mergeCell ref="AJ53:AJ55"/>
    <mergeCell ref="AK53:AK55"/>
    <mergeCell ref="AL53:AL55"/>
    <mergeCell ref="AM53:AM55"/>
    <mergeCell ref="AN53:AN55"/>
    <mergeCell ref="AO53:AO55"/>
    <mergeCell ref="AP53:AP55"/>
    <mergeCell ref="A50:A52"/>
    <mergeCell ref="B50:B52"/>
    <mergeCell ref="C50:C52"/>
    <mergeCell ref="AJ50:AJ52"/>
    <mergeCell ref="AK50:AK52"/>
    <mergeCell ref="AL50:AL52"/>
    <mergeCell ref="AM50:AM52"/>
    <mergeCell ref="AN50:AN52"/>
    <mergeCell ref="AO50:AO52"/>
    <mergeCell ref="AP44:AP46"/>
    <mergeCell ref="A47:A49"/>
    <mergeCell ref="B47:B49"/>
    <mergeCell ref="C47:C49"/>
    <mergeCell ref="AJ47:AJ49"/>
    <mergeCell ref="AK47:AK49"/>
    <mergeCell ref="AL47:AL49"/>
    <mergeCell ref="AM47:AM49"/>
    <mergeCell ref="AN47:AN49"/>
    <mergeCell ref="AO47:AO49"/>
    <mergeCell ref="AP47:AP49"/>
    <mergeCell ref="A44:A46"/>
    <mergeCell ref="B44:B46"/>
    <mergeCell ref="C44:C46"/>
    <mergeCell ref="AJ44:AJ46"/>
    <mergeCell ref="AK44:AK46"/>
    <mergeCell ref="AL44:AL46"/>
    <mergeCell ref="AM44:AM46"/>
    <mergeCell ref="AN44:AN46"/>
    <mergeCell ref="AO44:AO46"/>
    <mergeCell ref="AP38:AP40"/>
    <mergeCell ref="A41:A43"/>
    <mergeCell ref="B41:B43"/>
    <mergeCell ref="C41:C43"/>
    <mergeCell ref="AJ41:AJ43"/>
    <mergeCell ref="AK41:AK43"/>
    <mergeCell ref="AL41:AL43"/>
    <mergeCell ref="AM41:AM43"/>
    <mergeCell ref="AN41:AN43"/>
    <mergeCell ref="AO41:AO43"/>
    <mergeCell ref="AP41:AP43"/>
    <mergeCell ref="A38:A40"/>
    <mergeCell ref="B38:B40"/>
    <mergeCell ref="C38:C40"/>
    <mergeCell ref="AJ38:AJ40"/>
    <mergeCell ref="AK38:AK40"/>
    <mergeCell ref="AL38:AL40"/>
    <mergeCell ref="AM38:AM40"/>
    <mergeCell ref="AN38:AN40"/>
    <mergeCell ref="AO38:AO40"/>
    <mergeCell ref="AP32:AP34"/>
    <mergeCell ref="A35:A37"/>
    <mergeCell ref="B35:B37"/>
    <mergeCell ref="C35:C37"/>
    <mergeCell ref="AJ35:AJ37"/>
    <mergeCell ref="AK35:AK37"/>
    <mergeCell ref="AL35:AL37"/>
    <mergeCell ref="AM35:AM37"/>
    <mergeCell ref="AN35:AN37"/>
    <mergeCell ref="AO35:AO37"/>
    <mergeCell ref="AP35:AP37"/>
    <mergeCell ref="A32:A34"/>
    <mergeCell ref="B32:B34"/>
    <mergeCell ref="C32:C34"/>
    <mergeCell ref="AJ32:AJ34"/>
    <mergeCell ref="AK32:AK34"/>
    <mergeCell ref="AL32:AL34"/>
    <mergeCell ref="AM32:AM34"/>
    <mergeCell ref="AN32:AN34"/>
    <mergeCell ref="AO32:AO34"/>
    <mergeCell ref="AP26:AP28"/>
    <mergeCell ref="A29:A31"/>
    <mergeCell ref="B29:B31"/>
    <mergeCell ref="C29:C31"/>
    <mergeCell ref="AJ29:AJ31"/>
    <mergeCell ref="AK29:AK31"/>
    <mergeCell ref="AL29:AL31"/>
    <mergeCell ref="AM29:AM31"/>
    <mergeCell ref="AN29:AN31"/>
    <mergeCell ref="AO29:AO31"/>
    <mergeCell ref="AP29:AP31"/>
    <mergeCell ref="A26:A28"/>
    <mergeCell ref="B26:B28"/>
    <mergeCell ref="C26:C28"/>
    <mergeCell ref="AJ26:AJ28"/>
    <mergeCell ref="AK26:AK28"/>
    <mergeCell ref="AL26:AL28"/>
    <mergeCell ref="AM26:AM28"/>
    <mergeCell ref="AN26:AN28"/>
    <mergeCell ref="AO26:AO28"/>
    <mergeCell ref="AP20:AP22"/>
    <mergeCell ref="A23:A25"/>
    <mergeCell ref="B23:B25"/>
    <mergeCell ref="C23:C25"/>
    <mergeCell ref="AJ23:AJ25"/>
    <mergeCell ref="AK23:AK25"/>
    <mergeCell ref="AL23:AL25"/>
    <mergeCell ref="AM23:AM25"/>
    <mergeCell ref="AN23:AN25"/>
    <mergeCell ref="AO23:AO25"/>
    <mergeCell ref="AP23:AP25"/>
    <mergeCell ref="A20:A22"/>
    <mergeCell ref="B20:B22"/>
    <mergeCell ref="C20:C22"/>
    <mergeCell ref="AJ20:AJ22"/>
    <mergeCell ref="AK20:AK22"/>
    <mergeCell ref="AL20:AL22"/>
    <mergeCell ref="AM20:AM22"/>
    <mergeCell ref="AN20:AN22"/>
    <mergeCell ref="AO20:AO22"/>
    <mergeCell ref="AP14:AP16"/>
    <mergeCell ref="A17:A19"/>
    <mergeCell ref="B17:B19"/>
    <mergeCell ref="C17:C19"/>
    <mergeCell ref="AJ17:AJ19"/>
    <mergeCell ref="AK17:AK19"/>
    <mergeCell ref="AL17:AL19"/>
    <mergeCell ref="AM17:AM19"/>
    <mergeCell ref="AN17:AN19"/>
    <mergeCell ref="AO17:AO19"/>
    <mergeCell ref="AP17:AP19"/>
    <mergeCell ref="A14:A16"/>
    <mergeCell ref="B14:B16"/>
    <mergeCell ref="C14:C16"/>
    <mergeCell ref="AJ14:AJ16"/>
    <mergeCell ref="AK14:AK16"/>
    <mergeCell ref="AL14:AL16"/>
    <mergeCell ref="AM14:AM16"/>
    <mergeCell ref="AN14:AN16"/>
    <mergeCell ref="AO14:AO16"/>
    <mergeCell ref="AP8:AP10"/>
    <mergeCell ref="A11:A13"/>
    <mergeCell ref="B11:B13"/>
    <mergeCell ref="C11:C13"/>
    <mergeCell ref="AJ11:AJ13"/>
    <mergeCell ref="AK11:AK13"/>
    <mergeCell ref="AL11:AL13"/>
    <mergeCell ref="AM11:AM13"/>
    <mergeCell ref="AN11:AN13"/>
    <mergeCell ref="AO11:AO13"/>
    <mergeCell ref="AP11:AP13"/>
    <mergeCell ref="A8:A10"/>
    <mergeCell ref="B8:B10"/>
    <mergeCell ref="C8:C10"/>
    <mergeCell ref="AJ8:AJ10"/>
    <mergeCell ref="AK8:AK10"/>
    <mergeCell ref="AL8:AL10"/>
    <mergeCell ref="AM8:AM10"/>
    <mergeCell ref="AN8:AN10"/>
    <mergeCell ref="AO8:AO10"/>
    <mergeCell ref="A1:U1"/>
    <mergeCell ref="A2:U2"/>
    <mergeCell ref="A3:A4"/>
    <mergeCell ref="B3:B4"/>
    <mergeCell ref="C3:C4"/>
    <mergeCell ref="D3:D4"/>
    <mergeCell ref="E3:AI3"/>
    <mergeCell ref="AP3:AP4"/>
    <mergeCell ref="A5:A7"/>
    <mergeCell ref="B5:B7"/>
    <mergeCell ref="C5:C7"/>
    <mergeCell ref="AJ5:AJ7"/>
    <mergeCell ref="AK5:AK7"/>
    <mergeCell ref="AL5:AL7"/>
    <mergeCell ref="AM5:AM7"/>
    <mergeCell ref="AN5:AN7"/>
    <mergeCell ref="AO5:AO7"/>
    <mergeCell ref="AJ3:AJ4"/>
    <mergeCell ref="AK3:AK4"/>
    <mergeCell ref="AL3:AL4"/>
    <mergeCell ref="AM3:AM4"/>
    <mergeCell ref="AN3:AN4"/>
    <mergeCell ref="AO3:AO4"/>
    <mergeCell ref="AP5:AP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73FB-4373-428D-B6D6-EC9E4B4530C9}">
  <dimension ref="A1:AP241"/>
  <sheetViews>
    <sheetView zoomScale="116" zoomScaleNormal="100" workbookViewId="0">
      <pane xSplit="3" ySplit="4" topLeftCell="D59" activePane="bottomRight" state="frozen"/>
      <selection pane="topRight"/>
      <selection pane="bottomLeft"/>
      <selection pane="bottomRight" activeCell="B68" sqref="B68:B70"/>
    </sheetView>
  </sheetViews>
  <sheetFormatPr baseColWidth="10" defaultColWidth="9" defaultRowHeight="15"/>
  <cols>
    <col min="1" max="1" width="6.83203125" style="16" customWidth="1"/>
    <col min="2" max="2" width="18.33203125" style="16" customWidth="1"/>
    <col min="3" max="3" width="8.33203125" style="16" customWidth="1"/>
    <col min="4" max="4" width="6.6640625" style="16" customWidth="1"/>
    <col min="5" max="35" width="4.1640625" style="16" customWidth="1"/>
    <col min="36" max="36" width="8.83203125" style="16" customWidth="1"/>
    <col min="37" max="37" width="7.83203125" style="17" customWidth="1"/>
    <col min="38" max="38" width="13.83203125" style="18" customWidth="1"/>
    <col min="39" max="39" width="13.5" style="18" customWidth="1"/>
    <col min="40" max="40" width="17.33203125" style="18" customWidth="1"/>
    <col min="41" max="41" width="16.1640625" style="18" customWidth="1"/>
    <col min="42" max="42" width="20.5" style="18" customWidth="1"/>
  </cols>
  <sheetData>
    <row r="1" spans="1:42" ht="2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1"/>
      <c r="W1" s="1"/>
      <c r="X1" s="1"/>
      <c r="Y1" s="2" t="s">
        <v>1</v>
      </c>
      <c r="Z1" s="3"/>
      <c r="AA1" s="3"/>
      <c r="AB1" s="3"/>
      <c r="AC1" s="2" t="s">
        <v>83</v>
      </c>
      <c r="AD1" s="3"/>
      <c r="AE1" s="1"/>
      <c r="AF1" s="4"/>
      <c r="AG1" s="4"/>
      <c r="AH1" s="4"/>
      <c r="AI1" s="4"/>
      <c r="AJ1" s="4"/>
      <c r="AK1" s="5"/>
      <c r="AL1" s="6"/>
      <c r="AM1" s="6"/>
      <c r="AN1" s="6"/>
      <c r="AO1" s="6"/>
      <c r="AP1" s="6"/>
    </row>
    <row r="2" spans="1:42" ht="21">
      <c r="A2" s="72" t="s">
        <v>85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"/>
      <c r="W2" s="1"/>
      <c r="X2" s="1"/>
      <c r="Y2" s="2" t="s">
        <v>4</v>
      </c>
      <c r="Z2" s="3"/>
      <c r="AA2" s="3"/>
      <c r="AB2" s="3"/>
      <c r="AC2" s="2" t="s">
        <v>84</v>
      </c>
      <c r="AD2" s="3"/>
      <c r="AE2" s="1"/>
      <c r="AF2" s="4"/>
      <c r="AG2" s="4"/>
      <c r="AH2" s="4"/>
      <c r="AI2" s="4"/>
      <c r="AJ2" s="4"/>
      <c r="AK2" s="5"/>
      <c r="AL2" s="6"/>
      <c r="AM2" s="6"/>
      <c r="AN2" s="6"/>
      <c r="AO2" s="6"/>
      <c r="AP2" s="6"/>
    </row>
    <row r="3" spans="1:42">
      <c r="A3" s="52" t="s">
        <v>5</v>
      </c>
      <c r="B3" s="52" t="s">
        <v>6</v>
      </c>
      <c r="C3" s="69" t="s">
        <v>7</v>
      </c>
      <c r="D3" s="69" t="s">
        <v>8</v>
      </c>
      <c r="E3" s="74" t="s">
        <v>9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69" t="s">
        <v>10</v>
      </c>
      <c r="AK3" s="52" t="s">
        <v>11</v>
      </c>
      <c r="AL3" s="50" t="s">
        <v>12</v>
      </c>
      <c r="AM3" s="50" t="s">
        <v>13</v>
      </c>
      <c r="AN3" s="50" t="s">
        <v>14</v>
      </c>
      <c r="AO3" s="50" t="s">
        <v>11</v>
      </c>
      <c r="AP3" s="50" t="s">
        <v>15</v>
      </c>
    </row>
    <row r="4" spans="1:42">
      <c r="A4" s="53"/>
      <c r="B4" s="53"/>
      <c r="C4" s="70"/>
      <c r="D4" s="70"/>
      <c r="E4" s="8">
        <v>1</v>
      </c>
      <c r="F4" s="8">
        <v>2</v>
      </c>
      <c r="G4" s="8">
        <v>3</v>
      </c>
      <c r="H4" s="8">
        <v>4</v>
      </c>
      <c r="I4" s="8">
        <v>5</v>
      </c>
      <c r="J4" s="8">
        <v>6</v>
      </c>
      <c r="K4" s="8">
        <v>7</v>
      </c>
      <c r="L4" s="8">
        <v>8</v>
      </c>
      <c r="M4" s="8">
        <v>9</v>
      </c>
      <c r="N4" s="8">
        <v>10</v>
      </c>
      <c r="O4" s="8">
        <v>11</v>
      </c>
      <c r="P4" s="8">
        <v>12</v>
      </c>
      <c r="Q4" s="8">
        <v>13</v>
      </c>
      <c r="R4" s="8">
        <v>14</v>
      </c>
      <c r="S4" s="8">
        <v>15</v>
      </c>
      <c r="T4" s="8">
        <v>16</v>
      </c>
      <c r="U4" s="8">
        <v>17</v>
      </c>
      <c r="V4" s="8">
        <v>18</v>
      </c>
      <c r="W4" s="8">
        <v>19</v>
      </c>
      <c r="X4" s="8">
        <v>20</v>
      </c>
      <c r="Y4" s="8">
        <v>21</v>
      </c>
      <c r="Z4" s="8">
        <v>22</v>
      </c>
      <c r="AA4" s="8">
        <v>23</v>
      </c>
      <c r="AB4" s="8">
        <v>24</v>
      </c>
      <c r="AC4" s="8">
        <v>25</v>
      </c>
      <c r="AD4" s="8">
        <v>26</v>
      </c>
      <c r="AE4" s="8">
        <v>27</v>
      </c>
      <c r="AF4" s="8">
        <v>28</v>
      </c>
      <c r="AG4" s="8">
        <v>29</v>
      </c>
      <c r="AH4" s="8">
        <v>30</v>
      </c>
      <c r="AI4" s="8">
        <v>31</v>
      </c>
      <c r="AJ4" s="70"/>
      <c r="AK4" s="53"/>
      <c r="AL4" s="51"/>
      <c r="AM4" s="51"/>
      <c r="AN4" s="51"/>
      <c r="AO4" s="51"/>
      <c r="AP4" s="51"/>
    </row>
    <row r="5" spans="1:42">
      <c r="A5" s="39">
        <v>1</v>
      </c>
      <c r="B5" s="39" t="s">
        <v>87</v>
      </c>
      <c r="C5" s="42" t="s">
        <v>24</v>
      </c>
      <c r="D5" s="10" t="s">
        <v>18</v>
      </c>
      <c r="E5" s="11"/>
      <c r="F5" s="11"/>
      <c r="G5" s="11"/>
      <c r="H5" s="11" t="s">
        <v>19</v>
      </c>
      <c r="I5" s="11" t="s">
        <v>19</v>
      </c>
      <c r="J5" s="11"/>
      <c r="K5" s="11" t="s">
        <v>19</v>
      </c>
      <c r="L5" s="11" t="s">
        <v>19</v>
      </c>
      <c r="M5" s="11" t="s">
        <v>19</v>
      </c>
      <c r="N5" s="11" t="s">
        <v>19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39">
        <f>COUNTIFS(E5:AI6,"✓")/2</f>
        <v>6</v>
      </c>
      <c r="AK5" s="39">
        <f>SUM(O7:AG7)</f>
        <v>0</v>
      </c>
      <c r="AL5" s="44">
        <v>300000</v>
      </c>
      <c r="AM5" s="44">
        <v>30000</v>
      </c>
      <c r="AN5" s="44">
        <f>AL5*AJ5</f>
        <v>1800000</v>
      </c>
      <c r="AO5" s="44">
        <f>AM5*AK5</f>
        <v>0</v>
      </c>
      <c r="AP5" s="44">
        <f>AL5*AJ5+AM5*AK5</f>
        <v>1800000</v>
      </c>
    </row>
    <row r="6" spans="1:42">
      <c r="A6" s="40"/>
      <c r="B6" s="40"/>
      <c r="C6" s="43"/>
      <c r="D6" s="10" t="s">
        <v>20</v>
      </c>
      <c r="E6" s="11"/>
      <c r="F6" s="11"/>
      <c r="G6" s="11"/>
      <c r="H6" s="11" t="s">
        <v>19</v>
      </c>
      <c r="I6" s="11" t="s">
        <v>19</v>
      </c>
      <c r="J6" s="11"/>
      <c r="K6" s="11" t="s">
        <v>19</v>
      </c>
      <c r="L6" s="11" t="s">
        <v>19</v>
      </c>
      <c r="M6" s="11" t="s">
        <v>19</v>
      </c>
      <c r="N6" s="11" t="s">
        <v>19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40"/>
      <c r="AK6" s="40"/>
      <c r="AL6" s="45"/>
      <c r="AM6" s="45"/>
      <c r="AN6" s="45"/>
      <c r="AO6" s="45"/>
      <c r="AP6" s="45"/>
    </row>
    <row r="7" spans="1:42">
      <c r="A7" s="40"/>
      <c r="B7" s="40"/>
      <c r="C7" s="43"/>
      <c r="D7" s="12" t="s">
        <v>21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40"/>
      <c r="AK7" s="40"/>
      <c r="AL7" s="46"/>
      <c r="AM7" s="46"/>
      <c r="AN7" s="46"/>
      <c r="AO7" s="46"/>
      <c r="AP7" s="46"/>
    </row>
    <row r="8" spans="1:42">
      <c r="A8" s="39">
        <f>A5+1</f>
        <v>2</v>
      </c>
      <c r="B8" s="39" t="s">
        <v>107</v>
      </c>
      <c r="C8" s="42" t="s">
        <v>24</v>
      </c>
      <c r="D8" s="10" t="s">
        <v>18</v>
      </c>
      <c r="E8" s="11"/>
      <c r="F8" s="11"/>
      <c r="G8" s="11"/>
      <c r="H8" s="11" t="s">
        <v>19</v>
      </c>
      <c r="I8" s="11" t="s">
        <v>19</v>
      </c>
      <c r="J8" s="11" t="s">
        <v>19</v>
      </c>
      <c r="K8" s="11"/>
      <c r="L8" s="11" t="s">
        <v>19</v>
      </c>
      <c r="M8" s="11" t="s">
        <v>19</v>
      </c>
      <c r="N8" s="11" t="s">
        <v>19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39">
        <f>COUNTIFS(E8:AI9,"✓")/2</f>
        <v>6</v>
      </c>
      <c r="AK8" s="39">
        <f>SUM(O10:AG10)</f>
        <v>0</v>
      </c>
      <c r="AL8" s="44">
        <v>300000</v>
      </c>
      <c r="AM8" s="44">
        <v>30000</v>
      </c>
      <c r="AN8" s="44">
        <f>AL8*AJ8</f>
        <v>1800000</v>
      </c>
      <c r="AO8" s="44">
        <f>AM8*AK8</f>
        <v>0</v>
      </c>
      <c r="AP8" s="44">
        <f t="shared" ref="AP8" si="0">AL8*AJ8+AM8*AK8</f>
        <v>1800000</v>
      </c>
    </row>
    <row r="9" spans="1:42">
      <c r="A9" s="40"/>
      <c r="B9" s="40"/>
      <c r="C9" s="43"/>
      <c r="D9" s="10" t="s">
        <v>20</v>
      </c>
      <c r="E9" s="11"/>
      <c r="F9" s="11"/>
      <c r="G9" s="11"/>
      <c r="H9" s="11" t="s">
        <v>19</v>
      </c>
      <c r="I9" s="11" t="s">
        <v>19</v>
      </c>
      <c r="J9" s="11" t="s">
        <v>19</v>
      </c>
      <c r="K9" s="11"/>
      <c r="L9" s="11" t="s">
        <v>19</v>
      </c>
      <c r="M9" s="11" t="s">
        <v>19</v>
      </c>
      <c r="N9" s="11" t="s">
        <v>19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40"/>
      <c r="AK9" s="40"/>
      <c r="AL9" s="45"/>
      <c r="AM9" s="45"/>
      <c r="AN9" s="45"/>
      <c r="AO9" s="45"/>
      <c r="AP9" s="45"/>
    </row>
    <row r="10" spans="1:42">
      <c r="A10" s="40"/>
      <c r="B10" s="40"/>
      <c r="C10" s="43"/>
      <c r="D10" s="12" t="s">
        <v>21</v>
      </c>
      <c r="E10" s="11"/>
      <c r="F10" s="11"/>
      <c r="G10" s="11"/>
      <c r="H10" s="11"/>
      <c r="I10" s="11"/>
      <c r="J10" s="11"/>
      <c r="K10" s="11"/>
      <c r="L10" s="11"/>
      <c r="M10" s="11">
        <v>2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40"/>
      <c r="AK10" s="40"/>
      <c r="AL10" s="46"/>
      <c r="AM10" s="46"/>
      <c r="AN10" s="46"/>
      <c r="AO10" s="46"/>
      <c r="AP10" s="46"/>
    </row>
    <row r="11" spans="1:42">
      <c r="A11" s="39">
        <f>A8+1</f>
        <v>3</v>
      </c>
      <c r="B11" s="39" t="s">
        <v>150</v>
      </c>
      <c r="C11" s="42" t="s">
        <v>24</v>
      </c>
      <c r="D11" s="10" t="s">
        <v>18</v>
      </c>
      <c r="E11" s="11"/>
      <c r="F11" s="11"/>
      <c r="G11" s="11"/>
      <c r="H11" s="11" t="s">
        <v>19</v>
      </c>
      <c r="I11" s="11" t="s">
        <v>19</v>
      </c>
      <c r="J11" s="11" t="s">
        <v>19</v>
      </c>
      <c r="K11" s="11"/>
      <c r="L11" s="11" t="s">
        <v>19</v>
      </c>
      <c r="M11" s="11" t="s">
        <v>19</v>
      </c>
      <c r="N11" s="11" t="s">
        <v>19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39">
        <f>COUNTIFS(E11:AI12,"✓")/2</f>
        <v>6</v>
      </c>
      <c r="AK11" s="39">
        <f t="shared" ref="AK11" si="1">SUM(O13:AG13)</f>
        <v>0</v>
      </c>
      <c r="AL11" s="44">
        <v>300000</v>
      </c>
      <c r="AM11" s="44">
        <v>30000</v>
      </c>
      <c r="AN11" s="44">
        <f>AL11*AJ11</f>
        <v>1800000</v>
      </c>
      <c r="AO11" s="44">
        <f>AM11*AK11</f>
        <v>0</v>
      </c>
      <c r="AP11" s="44">
        <f t="shared" ref="AP11" si="2">AL11*AJ11+AM11*AK11</f>
        <v>1800000</v>
      </c>
    </row>
    <row r="12" spans="1:42">
      <c r="A12" s="40"/>
      <c r="B12" s="40"/>
      <c r="C12" s="43"/>
      <c r="D12" s="10" t="s">
        <v>20</v>
      </c>
      <c r="E12" s="11"/>
      <c r="F12" s="11"/>
      <c r="G12" s="11"/>
      <c r="H12" s="11" t="s">
        <v>19</v>
      </c>
      <c r="I12" s="11" t="s">
        <v>19</v>
      </c>
      <c r="J12" s="11" t="s">
        <v>19</v>
      </c>
      <c r="K12" s="11"/>
      <c r="L12" s="11" t="s">
        <v>19</v>
      </c>
      <c r="M12" s="11" t="s">
        <v>19</v>
      </c>
      <c r="N12" s="11" t="s">
        <v>19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40"/>
      <c r="AK12" s="40"/>
      <c r="AL12" s="45"/>
      <c r="AM12" s="45"/>
      <c r="AN12" s="45"/>
      <c r="AO12" s="45"/>
      <c r="AP12" s="45"/>
    </row>
    <row r="13" spans="1:42">
      <c r="A13" s="40"/>
      <c r="B13" s="40"/>
      <c r="C13" s="43"/>
      <c r="D13" s="12" t="s">
        <v>21</v>
      </c>
      <c r="E13" s="11"/>
      <c r="F13" s="11"/>
      <c r="G13" s="11"/>
      <c r="H13" s="11"/>
      <c r="I13" s="11"/>
      <c r="J13" s="11"/>
      <c r="K13" s="11"/>
      <c r="L13" s="11"/>
      <c r="M13" s="11">
        <v>2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40"/>
      <c r="AK13" s="40"/>
      <c r="AL13" s="46"/>
      <c r="AM13" s="46"/>
      <c r="AN13" s="46"/>
      <c r="AO13" s="46"/>
      <c r="AP13" s="46"/>
    </row>
    <row r="14" spans="1:42">
      <c r="A14" s="39">
        <f>A11+1</f>
        <v>4</v>
      </c>
      <c r="B14" s="39" t="s">
        <v>151</v>
      </c>
      <c r="C14" s="42" t="s">
        <v>24</v>
      </c>
      <c r="D14" s="10" t="s">
        <v>18</v>
      </c>
      <c r="E14" s="11"/>
      <c r="F14" s="11"/>
      <c r="G14" s="11"/>
      <c r="H14" s="11"/>
      <c r="I14" s="11"/>
      <c r="J14" s="11" t="s">
        <v>19</v>
      </c>
      <c r="K14" s="11" t="s">
        <v>19</v>
      </c>
      <c r="L14" s="11"/>
      <c r="M14" s="11" t="s">
        <v>19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39">
        <f>COUNTIFS(E14:AI15,"✓")/2</f>
        <v>3</v>
      </c>
      <c r="AK14" s="39">
        <f t="shared" ref="AK14" si="3">SUM(O16:AG16)</f>
        <v>0</v>
      </c>
      <c r="AL14" s="44">
        <v>300000</v>
      </c>
      <c r="AM14" s="44">
        <v>30000</v>
      </c>
      <c r="AN14" s="44">
        <f>AL14*AJ14</f>
        <v>900000</v>
      </c>
      <c r="AO14" s="44">
        <f>AM14*AK14</f>
        <v>0</v>
      </c>
      <c r="AP14" s="44">
        <f t="shared" ref="AP14" si="4">AL14*AJ14+AM14*AK14</f>
        <v>900000</v>
      </c>
    </row>
    <row r="15" spans="1:42">
      <c r="A15" s="40"/>
      <c r="B15" s="40"/>
      <c r="C15" s="43"/>
      <c r="D15" s="10" t="s">
        <v>20</v>
      </c>
      <c r="E15" s="11"/>
      <c r="F15" s="11"/>
      <c r="G15" s="11"/>
      <c r="H15" s="11"/>
      <c r="I15" s="11"/>
      <c r="J15" s="11" t="s">
        <v>19</v>
      </c>
      <c r="K15" s="11" t="s">
        <v>19</v>
      </c>
      <c r="L15" s="11"/>
      <c r="M15" s="11" t="s">
        <v>19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40"/>
      <c r="AK15" s="40"/>
      <c r="AL15" s="45"/>
      <c r="AM15" s="45"/>
      <c r="AN15" s="45"/>
      <c r="AO15" s="45"/>
      <c r="AP15" s="45"/>
    </row>
    <row r="16" spans="1:42">
      <c r="A16" s="40"/>
      <c r="B16" s="40"/>
      <c r="C16" s="43"/>
      <c r="D16" s="12" t="s">
        <v>21</v>
      </c>
      <c r="E16" s="11"/>
      <c r="F16" s="11"/>
      <c r="G16" s="11"/>
      <c r="H16" s="11"/>
      <c r="I16" s="11"/>
      <c r="J16" s="11"/>
      <c r="K16" s="11"/>
      <c r="L16" s="11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40"/>
      <c r="AK16" s="40"/>
      <c r="AL16" s="46"/>
      <c r="AM16" s="46"/>
      <c r="AN16" s="46"/>
      <c r="AO16" s="46"/>
      <c r="AP16" s="46"/>
    </row>
    <row r="17" spans="1:42">
      <c r="A17" s="39">
        <f>A14+1</f>
        <v>5</v>
      </c>
      <c r="B17" s="39" t="s">
        <v>119</v>
      </c>
      <c r="C17" s="42" t="s">
        <v>24</v>
      </c>
      <c r="D17" s="10" t="s">
        <v>18</v>
      </c>
      <c r="E17" s="11"/>
      <c r="F17" s="11"/>
      <c r="G17" s="11"/>
      <c r="H17" s="11"/>
      <c r="I17" s="11"/>
      <c r="J17" s="11"/>
      <c r="K17" s="11" t="s">
        <v>19</v>
      </c>
      <c r="L17" s="11" t="s">
        <v>19</v>
      </c>
      <c r="M17" s="11" t="s">
        <v>19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39">
        <f>COUNTIFS(E17:AI18,"✓")/2</f>
        <v>3</v>
      </c>
      <c r="AK17" s="39">
        <f t="shared" ref="AK17" si="5">SUM(O19:AG19)</f>
        <v>0</v>
      </c>
      <c r="AL17" s="44">
        <v>350000</v>
      </c>
      <c r="AM17" s="44">
        <v>25000</v>
      </c>
      <c r="AN17" s="44">
        <f>AL17*AJ17</f>
        <v>1050000</v>
      </c>
      <c r="AO17" s="44">
        <f>AM17*AK17</f>
        <v>0</v>
      </c>
      <c r="AP17" s="44">
        <f t="shared" ref="AP17" si="6">AL17*AJ17+AM17*AK17</f>
        <v>1050000</v>
      </c>
    </row>
    <row r="18" spans="1:42">
      <c r="A18" s="40"/>
      <c r="B18" s="40"/>
      <c r="C18" s="43"/>
      <c r="D18" s="10" t="s">
        <v>20</v>
      </c>
      <c r="E18" s="11"/>
      <c r="F18" s="11"/>
      <c r="G18" s="11"/>
      <c r="H18" s="11"/>
      <c r="I18" s="11"/>
      <c r="J18" s="11"/>
      <c r="K18" s="11" t="s">
        <v>19</v>
      </c>
      <c r="L18" s="11" t="s">
        <v>19</v>
      </c>
      <c r="M18" s="11" t="s">
        <v>19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40"/>
      <c r="AK18" s="40"/>
      <c r="AL18" s="45"/>
      <c r="AM18" s="45"/>
      <c r="AN18" s="45"/>
      <c r="AO18" s="45"/>
      <c r="AP18" s="45"/>
    </row>
    <row r="19" spans="1:42">
      <c r="A19" s="40"/>
      <c r="B19" s="40"/>
      <c r="C19" s="43"/>
      <c r="D19" s="12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40"/>
      <c r="AK19" s="40"/>
      <c r="AL19" s="46"/>
      <c r="AM19" s="46"/>
      <c r="AN19" s="46"/>
      <c r="AO19" s="46"/>
      <c r="AP19" s="46"/>
    </row>
    <row r="20" spans="1:42">
      <c r="A20" s="39">
        <f>A17+1</f>
        <v>6</v>
      </c>
      <c r="B20" s="39" t="s">
        <v>152</v>
      </c>
      <c r="C20" s="42" t="s">
        <v>24</v>
      </c>
      <c r="D20" s="10" t="s">
        <v>18</v>
      </c>
      <c r="E20" s="11"/>
      <c r="F20" s="11"/>
      <c r="G20" s="11"/>
      <c r="H20" s="11" t="s">
        <v>19</v>
      </c>
      <c r="I20" s="11" t="s">
        <v>19</v>
      </c>
      <c r="J20" s="11" t="s">
        <v>19</v>
      </c>
      <c r="K20" s="11" t="s">
        <v>19</v>
      </c>
      <c r="L20" s="11"/>
      <c r="M20" s="11" t="s">
        <v>19</v>
      </c>
      <c r="N20" s="11" t="s">
        <v>19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39">
        <f>COUNTIFS(E20:AI21,"✓")/2</f>
        <v>6</v>
      </c>
      <c r="AK20" s="39">
        <f t="shared" ref="AK20" si="7">SUM(O22:AG22)</f>
        <v>0</v>
      </c>
      <c r="AL20" s="44">
        <v>230000</v>
      </c>
      <c r="AM20" s="44">
        <v>25000</v>
      </c>
      <c r="AN20" s="44">
        <f>AL20*AJ20</f>
        <v>1380000</v>
      </c>
      <c r="AO20" s="44">
        <f>AM20*AK20</f>
        <v>0</v>
      </c>
      <c r="AP20" s="44">
        <f t="shared" ref="AP20" si="8">AL20*AJ20+AM20*AK20</f>
        <v>1380000</v>
      </c>
    </row>
    <row r="21" spans="1:42">
      <c r="A21" s="40"/>
      <c r="B21" s="40"/>
      <c r="C21" s="43"/>
      <c r="D21" s="10" t="s">
        <v>20</v>
      </c>
      <c r="E21" s="11"/>
      <c r="F21" s="11"/>
      <c r="G21" s="11"/>
      <c r="H21" s="11" t="s">
        <v>19</v>
      </c>
      <c r="I21" s="11" t="s">
        <v>19</v>
      </c>
      <c r="J21" s="11" t="s">
        <v>19</v>
      </c>
      <c r="K21" s="11" t="s">
        <v>19</v>
      </c>
      <c r="L21" s="11"/>
      <c r="M21" s="11" t="s">
        <v>19</v>
      </c>
      <c r="N21" s="11" t="s">
        <v>19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40"/>
      <c r="AK21" s="40"/>
      <c r="AL21" s="45"/>
      <c r="AM21" s="45"/>
      <c r="AN21" s="45"/>
      <c r="AO21" s="45"/>
      <c r="AP21" s="45"/>
    </row>
    <row r="22" spans="1:42">
      <c r="A22" s="40"/>
      <c r="B22" s="40"/>
      <c r="C22" s="43"/>
      <c r="D22" s="12" t="s">
        <v>21</v>
      </c>
      <c r="E22" s="11"/>
      <c r="F22" s="11"/>
      <c r="G22" s="11"/>
      <c r="H22" s="11"/>
      <c r="I22" s="11"/>
      <c r="J22" s="11"/>
      <c r="K22" s="11"/>
      <c r="L22" s="11"/>
      <c r="M22" s="11">
        <v>2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40"/>
      <c r="AK22" s="40"/>
      <c r="AL22" s="46"/>
      <c r="AM22" s="46"/>
      <c r="AN22" s="46"/>
      <c r="AO22" s="46"/>
      <c r="AP22" s="46"/>
    </row>
    <row r="23" spans="1:42">
      <c r="A23" s="39">
        <f>A20+1</f>
        <v>7</v>
      </c>
      <c r="B23" s="39" t="s">
        <v>153</v>
      </c>
      <c r="C23" s="42" t="s">
        <v>24</v>
      </c>
      <c r="D23" s="10" t="s">
        <v>18</v>
      </c>
      <c r="E23" s="11"/>
      <c r="F23" s="11" t="s">
        <v>19</v>
      </c>
      <c r="G23" s="11" t="s">
        <v>19</v>
      </c>
      <c r="H23" s="11" t="s">
        <v>19</v>
      </c>
      <c r="I23" s="11" t="s">
        <v>19</v>
      </c>
      <c r="J23" s="11"/>
      <c r="K23" s="11" t="s">
        <v>19</v>
      </c>
      <c r="L23" s="11" t="s">
        <v>19</v>
      </c>
      <c r="M23" s="11" t="s">
        <v>19</v>
      </c>
      <c r="N23" s="11" t="s">
        <v>19</v>
      </c>
      <c r="O23" s="10"/>
      <c r="P23" s="11"/>
      <c r="Q23" s="11"/>
      <c r="R23" s="10"/>
      <c r="S23" s="11"/>
      <c r="T23" s="11"/>
      <c r="U23" s="10"/>
      <c r="V23" s="11"/>
      <c r="W23" s="11"/>
      <c r="X23" s="10"/>
      <c r="Y23" s="11"/>
      <c r="Z23" s="11"/>
      <c r="AA23" s="10"/>
      <c r="AB23" s="11"/>
      <c r="AC23" s="11"/>
      <c r="AD23" s="10"/>
      <c r="AE23" s="11"/>
      <c r="AF23" s="11"/>
      <c r="AG23" s="10"/>
      <c r="AH23" s="11"/>
      <c r="AI23" s="11"/>
      <c r="AJ23" s="39">
        <f>COUNTIFS(E23:AI24,"✓")/2</f>
        <v>8</v>
      </c>
      <c r="AK23" s="39">
        <f t="shared" ref="AK23" si="9">SUM(O25:AG25)</f>
        <v>0</v>
      </c>
      <c r="AL23" s="44">
        <v>230000</v>
      </c>
      <c r="AM23" s="44">
        <v>25000</v>
      </c>
      <c r="AN23" s="44">
        <f>AL23*AJ23</f>
        <v>1840000</v>
      </c>
      <c r="AO23" s="44">
        <f>AM23*AK23</f>
        <v>0</v>
      </c>
      <c r="AP23" s="44">
        <f t="shared" ref="AP23" si="10">AL23*AJ23+AM23*AK23</f>
        <v>1840000</v>
      </c>
    </row>
    <row r="24" spans="1:42">
      <c r="A24" s="40"/>
      <c r="B24" s="40"/>
      <c r="C24" s="43"/>
      <c r="D24" s="10" t="s">
        <v>20</v>
      </c>
      <c r="E24" s="11"/>
      <c r="F24" s="11" t="s">
        <v>19</v>
      </c>
      <c r="G24" s="11" t="s">
        <v>19</v>
      </c>
      <c r="H24" s="11" t="s">
        <v>19</v>
      </c>
      <c r="I24" s="11" t="s">
        <v>19</v>
      </c>
      <c r="J24" s="11"/>
      <c r="K24" s="11" t="s">
        <v>19</v>
      </c>
      <c r="L24" s="11" t="s">
        <v>19</v>
      </c>
      <c r="M24" s="11" t="s">
        <v>19</v>
      </c>
      <c r="N24" s="11" t="s">
        <v>19</v>
      </c>
      <c r="O24" s="10"/>
      <c r="P24" s="11"/>
      <c r="Q24" s="11"/>
      <c r="R24" s="10"/>
      <c r="S24" s="11"/>
      <c r="T24" s="11"/>
      <c r="U24" s="10"/>
      <c r="V24" s="11"/>
      <c r="W24" s="11"/>
      <c r="X24" s="10"/>
      <c r="Y24" s="11"/>
      <c r="Z24" s="11"/>
      <c r="AA24" s="10"/>
      <c r="AB24" s="11"/>
      <c r="AC24" s="11"/>
      <c r="AD24" s="10"/>
      <c r="AE24" s="11"/>
      <c r="AF24" s="11"/>
      <c r="AG24" s="10"/>
      <c r="AH24" s="11"/>
      <c r="AI24" s="11"/>
      <c r="AJ24" s="40"/>
      <c r="AK24" s="40"/>
      <c r="AL24" s="45"/>
      <c r="AM24" s="45"/>
      <c r="AN24" s="45"/>
      <c r="AO24" s="45"/>
      <c r="AP24" s="45"/>
    </row>
    <row r="25" spans="1:42">
      <c r="A25" s="40"/>
      <c r="B25" s="40"/>
      <c r="C25" s="43"/>
      <c r="D25" s="12" t="s">
        <v>21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  <c r="P25" s="11"/>
      <c r="Q25" s="11"/>
      <c r="R25" s="10"/>
      <c r="S25" s="11"/>
      <c r="T25" s="11"/>
      <c r="U25" s="10"/>
      <c r="V25" s="11"/>
      <c r="W25" s="11"/>
      <c r="X25" s="10"/>
      <c r="Y25" s="11"/>
      <c r="Z25" s="11"/>
      <c r="AA25" s="10"/>
      <c r="AB25" s="11"/>
      <c r="AC25" s="11"/>
      <c r="AD25" s="10"/>
      <c r="AE25" s="11"/>
      <c r="AF25" s="11"/>
      <c r="AG25" s="10"/>
      <c r="AH25" s="11"/>
      <c r="AI25" s="11"/>
      <c r="AJ25" s="40"/>
      <c r="AK25" s="40"/>
      <c r="AL25" s="46"/>
      <c r="AM25" s="46"/>
      <c r="AN25" s="46"/>
      <c r="AO25" s="46"/>
      <c r="AP25" s="46"/>
    </row>
    <row r="26" spans="1:42">
      <c r="A26" s="39">
        <f>A23+1</f>
        <v>8</v>
      </c>
      <c r="B26" s="39" t="s">
        <v>154</v>
      </c>
      <c r="C26" s="42" t="s">
        <v>24</v>
      </c>
      <c r="D26" s="10" t="s">
        <v>18</v>
      </c>
      <c r="E26" s="11"/>
      <c r="F26" s="11"/>
      <c r="G26" s="11"/>
      <c r="H26" s="11"/>
      <c r="I26" s="11" t="s">
        <v>19</v>
      </c>
      <c r="J26" s="11" t="s">
        <v>19</v>
      </c>
      <c r="K26" s="11"/>
      <c r="L26" s="11"/>
      <c r="M26" s="11" t="s">
        <v>155</v>
      </c>
      <c r="N26" s="11" t="s">
        <v>19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39">
        <f>COUNTIFS(E26:AI27,"✓")/2</f>
        <v>3.5</v>
      </c>
      <c r="AK26" s="39">
        <f>SUM(O28:AG28,AH28)</f>
        <v>0</v>
      </c>
      <c r="AL26" s="44">
        <v>230000</v>
      </c>
      <c r="AM26" s="44">
        <v>25000</v>
      </c>
      <c r="AN26" s="44">
        <f>AL26*AJ26</f>
        <v>805000</v>
      </c>
      <c r="AO26" s="44">
        <f>AM26*AK26</f>
        <v>0</v>
      </c>
      <c r="AP26" s="44">
        <f t="shared" ref="AP26" si="11">AL26*AJ26+AM26*AK26</f>
        <v>805000</v>
      </c>
    </row>
    <row r="27" spans="1:42">
      <c r="A27" s="40"/>
      <c r="B27" s="40"/>
      <c r="C27" s="43"/>
      <c r="D27" s="10" t="s">
        <v>20</v>
      </c>
      <c r="E27" s="11"/>
      <c r="F27" s="11"/>
      <c r="G27" s="11"/>
      <c r="H27" s="11"/>
      <c r="I27" s="11" t="s">
        <v>19</v>
      </c>
      <c r="J27" s="11" t="s">
        <v>19</v>
      </c>
      <c r="K27" s="11"/>
      <c r="L27" s="11"/>
      <c r="M27" s="11" t="s">
        <v>19</v>
      </c>
      <c r="N27" s="11" t="s">
        <v>19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40"/>
      <c r="AK27" s="40"/>
      <c r="AL27" s="45"/>
      <c r="AM27" s="45"/>
      <c r="AN27" s="45"/>
      <c r="AO27" s="45"/>
      <c r="AP27" s="45"/>
    </row>
    <row r="28" spans="1:42">
      <c r="A28" s="40"/>
      <c r="B28" s="40"/>
      <c r="C28" s="43"/>
      <c r="D28" s="12" t="s">
        <v>21</v>
      </c>
      <c r="E28" s="11"/>
      <c r="F28" s="11"/>
      <c r="G28" s="11"/>
      <c r="H28" s="11"/>
      <c r="I28" s="11"/>
      <c r="J28" s="11"/>
      <c r="K28" s="11"/>
      <c r="L28" s="11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40"/>
      <c r="AK28" s="40"/>
      <c r="AL28" s="46"/>
      <c r="AM28" s="46"/>
      <c r="AN28" s="46"/>
      <c r="AO28" s="46"/>
      <c r="AP28" s="46"/>
    </row>
    <row r="29" spans="1:42">
      <c r="A29" s="39">
        <f>A26+1</f>
        <v>9</v>
      </c>
      <c r="B29" s="39" t="s">
        <v>156</v>
      </c>
      <c r="C29" s="42" t="s">
        <v>24</v>
      </c>
      <c r="D29" s="10" t="s">
        <v>18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19</v>
      </c>
      <c r="O29" s="10"/>
      <c r="P29" s="11" t="s">
        <v>19</v>
      </c>
      <c r="Q29" s="11" t="s">
        <v>19</v>
      </c>
      <c r="R29" s="11" t="s">
        <v>19</v>
      </c>
      <c r="S29" s="11" t="s">
        <v>19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39">
        <f>COUNTIFS(E29:AI30,"✓")/2</f>
        <v>5</v>
      </c>
      <c r="AK29" s="39">
        <f t="shared" ref="AK29" si="12">SUM(O31:AG31)</f>
        <v>2</v>
      </c>
      <c r="AL29" s="44">
        <v>230000</v>
      </c>
      <c r="AM29" s="44">
        <v>25000</v>
      </c>
      <c r="AN29" s="44">
        <f>AL29*AJ29</f>
        <v>1150000</v>
      </c>
      <c r="AO29" s="44">
        <f>AM29*AK29</f>
        <v>50000</v>
      </c>
      <c r="AP29" s="44">
        <f t="shared" ref="AP29" si="13">AL29*AJ29+AM29*AK29</f>
        <v>1200000</v>
      </c>
    </row>
    <row r="30" spans="1:42">
      <c r="A30" s="40"/>
      <c r="B30" s="40"/>
      <c r="C30" s="43"/>
      <c r="D30" s="10" t="s">
        <v>20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19</v>
      </c>
      <c r="O30" s="10"/>
      <c r="P30" s="11" t="s">
        <v>19</v>
      </c>
      <c r="Q30" s="11" t="s">
        <v>19</v>
      </c>
      <c r="R30" s="11" t="s">
        <v>19</v>
      </c>
      <c r="S30" s="11" t="s">
        <v>19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40"/>
      <c r="AK30" s="40"/>
      <c r="AL30" s="45"/>
      <c r="AM30" s="45"/>
      <c r="AN30" s="45"/>
      <c r="AO30" s="45"/>
      <c r="AP30" s="45"/>
    </row>
    <row r="31" spans="1:42">
      <c r="A31" s="40"/>
      <c r="B31" s="40"/>
      <c r="C31" s="43"/>
      <c r="D31" s="12" t="s">
        <v>21</v>
      </c>
      <c r="E31" s="11"/>
      <c r="F31" s="11"/>
      <c r="G31" s="11"/>
      <c r="H31" s="11"/>
      <c r="I31" s="11"/>
      <c r="J31" s="11"/>
      <c r="K31" s="11"/>
      <c r="L31" s="11"/>
      <c r="M31" s="11"/>
      <c r="N31" s="10"/>
      <c r="O31" s="10"/>
      <c r="P31" s="10"/>
      <c r="Q31" s="10">
        <v>2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40"/>
      <c r="AK31" s="40"/>
      <c r="AL31" s="46"/>
      <c r="AM31" s="46"/>
      <c r="AN31" s="46"/>
      <c r="AO31" s="46"/>
      <c r="AP31" s="46"/>
    </row>
    <row r="32" spans="1:42">
      <c r="A32" s="39">
        <f>A29+1</f>
        <v>10</v>
      </c>
      <c r="B32" s="39" t="s">
        <v>157</v>
      </c>
      <c r="C32" s="42" t="s">
        <v>24</v>
      </c>
      <c r="D32" s="10" t="s">
        <v>18</v>
      </c>
      <c r="E32" s="11"/>
      <c r="F32" s="11"/>
      <c r="G32" s="11"/>
      <c r="H32" s="11"/>
      <c r="I32" s="11"/>
      <c r="J32" s="11"/>
      <c r="K32" s="11"/>
      <c r="L32" s="11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39">
        <f>COUNTIFS(E32:AI33,"✓")/2</f>
        <v>0</v>
      </c>
      <c r="AK32" s="39">
        <f t="shared" ref="AK32" si="14">SUM(O34:AG34)</f>
        <v>0</v>
      </c>
      <c r="AL32" s="44">
        <v>230000</v>
      </c>
      <c r="AM32" s="44">
        <v>25000</v>
      </c>
      <c r="AN32" s="44">
        <f>AL32*AJ32</f>
        <v>0</v>
      </c>
      <c r="AO32" s="44">
        <f>AM32*AK32</f>
        <v>0</v>
      </c>
      <c r="AP32" s="44">
        <f t="shared" ref="AP32" si="15">AL32*AJ32+AM32*AK32</f>
        <v>0</v>
      </c>
    </row>
    <row r="33" spans="1:42">
      <c r="A33" s="40"/>
      <c r="B33" s="40"/>
      <c r="C33" s="43"/>
      <c r="D33" s="10" t="s">
        <v>20</v>
      </c>
      <c r="E33" s="11"/>
      <c r="F33" s="11"/>
      <c r="G33" s="11"/>
      <c r="H33" s="11"/>
      <c r="I33" s="11"/>
      <c r="J33" s="11"/>
      <c r="K33" s="11"/>
      <c r="L33" s="11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40"/>
      <c r="AK33" s="40"/>
      <c r="AL33" s="45"/>
      <c r="AM33" s="45"/>
      <c r="AN33" s="45"/>
      <c r="AO33" s="45"/>
      <c r="AP33" s="45"/>
    </row>
    <row r="34" spans="1:42">
      <c r="A34" s="40"/>
      <c r="B34" s="40"/>
      <c r="C34" s="43"/>
      <c r="D34" s="12" t="s">
        <v>21</v>
      </c>
      <c r="E34" s="11"/>
      <c r="F34" s="11"/>
      <c r="G34" s="11"/>
      <c r="H34" s="11"/>
      <c r="I34" s="11"/>
      <c r="J34" s="11"/>
      <c r="K34" s="11"/>
      <c r="L34" s="11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40"/>
      <c r="AK34" s="40"/>
      <c r="AL34" s="46"/>
      <c r="AM34" s="46"/>
      <c r="AN34" s="46"/>
      <c r="AO34" s="46"/>
      <c r="AP34" s="46"/>
    </row>
    <row r="35" spans="1:42">
      <c r="A35" s="39">
        <f>A32+1</f>
        <v>11</v>
      </c>
      <c r="B35" s="39" t="s">
        <v>158</v>
      </c>
      <c r="C35" s="42" t="s">
        <v>24</v>
      </c>
      <c r="D35" s="10" t="s">
        <v>18</v>
      </c>
      <c r="E35" s="11"/>
      <c r="F35" s="11"/>
      <c r="G35" s="11"/>
      <c r="H35" s="11"/>
      <c r="I35" s="11"/>
      <c r="J35" s="11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39">
        <f>COUNTIFS(E35:AI36,"✓")/2</f>
        <v>0</v>
      </c>
      <c r="AK35" s="39">
        <f>SUM(O37:AG37,AH37)</f>
        <v>0</v>
      </c>
      <c r="AL35" s="44">
        <v>380000</v>
      </c>
      <c r="AM35" s="44">
        <v>40000</v>
      </c>
      <c r="AN35" s="44">
        <f>AL35*AJ35</f>
        <v>0</v>
      </c>
      <c r="AO35" s="44">
        <f>AM35*AK35</f>
        <v>0</v>
      </c>
      <c r="AP35" s="44">
        <f t="shared" ref="AP35" si="16">AL35*AJ35+AM35*AK35</f>
        <v>0</v>
      </c>
    </row>
    <row r="36" spans="1:42">
      <c r="A36" s="40"/>
      <c r="B36" s="40"/>
      <c r="C36" s="43"/>
      <c r="D36" s="10" t="s">
        <v>20</v>
      </c>
      <c r="E36" s="11"/>
      <c r="F36" s="11"/>
      <c r="G36" s="11"/>
      <c r="H36" s="11"/>
      <c r="I36" s="11"/>
      <c r="J36" s="11"/>
      <c r="K36" s="11"/>
      <c r="L36" s="11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40"/>
      <c r="AK36" s="40"/>
      <c r="AL36" s="45"/>
      <c r="AM36" s="45"/>
      <c r="AN36" s="45"/>
      <c r="AO36" s="45"/>
      <c r="AP36" s="45"/>
    </row>
    <row r="37" spans="1:42">
      <c r="A37" s="40"/>
      <c r="B37" s="40"/>
      <c r="C37" s="43"/>
      <c r="D37" s="12" t="s">
        <v>21</v>
      </c>
      <c r="E37" s="11"/>
      <c r="F37" s="11"/>
      <c r="G37" s="11"/>
      <c r="H37" s="11"/>
      <c r="I37" s="11"/>
      <c r="J37" s="11"/>
      <c r="K37" s="11"/>
      <c r="L37" s="11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40"/>
      <c r="AK37" s="40"/>
      <c r="AL37" s="46"/>
      <c r="AM37" s="46"/>
      <c r="AN37" s="46"/>
      <c r="AO37" s="46"/>
      <c r="AP37" s="46"/>
    </row>
    <row r="38" spans="1:42">
      <c r="A38" s="39">
        <f>A35+1</f>
        <v>12</v>
      </c>
      <c r="B38" s="39" t="s">
        <v>159</v>
      </c>
      <c r="C38" s="42" t="s">
        <v>24</v>
      </c>
      <c r="D38" s="10" t="s">
        <v>18</v>
      </c>
      <c r="E38" s="11"/>
      <c r="F38" s="11"/>
      <c r="G38" s="11"/>
      <c r="H38" s="11"/>
      <c r="I38" s="11"/>
      <c r="J38" s="11"/>
      <c r="K38" s="11"/>
      <c r="L38" s="11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39">
        <f>COUNTIFS(E38:AI39,"✓")/2</f>
        <v>0</v>
      </c>
      <c r="AK38" s="39">
        <f t="shared" ref="AK38" si="17">SUM(O40:AG40)</f>
        <v>0</v>
      </c>
      <c r="AL38" s="44">
        <v>230000</v>
      </c>
      <c r="AM38" s="44">
        <v>25000</v>
      </c>
      <c r="AN38" s="44">
        <f>AL38*AJ38</f>
        <v>0</v>
      </c>
      <c r="AO38" s="44">
        <f>AM38*AK38</f>
        <v>0</v>
      </c>
      <c r="AP38" s="44">
        <f t="shared" ref="AP38" si="18">AL38*AJ38+AM38*AK38</f>
        <v>0</v>
      </c>
    </row>
    <row r="39" spans="1:42">
      <c r="A39" s="40"/>
      <c r="B39" s="40"/>
      <c r="C39" s="43"/>
      <c r="D39" s="10" t="s">
        <v>20</v>
      </c>
      <c r="E39" s="11"/>
      <c r="F39" s="11"/>
      <c r="G39" s="11"/>
      <c r="H39" s="11"/>
      <c r="I39" s="11"/>
      <c r="J39" s="11"/>
      <c r="K39" s="11"/>
      <c r="L39" s="11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0"/>
      <c r="AK39" s="40"/>
      <c r="AL39" s="45"/>
      <c r="AM39" s="45"/>
      <c r="AN39" s="45"/>
      <c r="AO39" s="45"/>
      <c r="AP39" s="45"/>
    </row>
    <row r="40" spans="1:42">
      <c r="A40" s="40"/>
      <c r="B40" s="40"/>
      <c r="C40" s="43"/>
      <c r="D40" s="12" t="s">
        <v>21</v>
      </c>
      <c r="E40" s="11"/>
      <c r="F40" s="11"/>
      <c r="G40" s="11"/>
      <c r="H40" s="11"/>
      <c r="I40" s="11"/>
      <c r="J40" s="11"/>
      <c r="K40" s="11"/>
      <c r="L40" s="11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40"/>
      <c r="AK40" s="40"/>
      <c r="AL40" s="46"/>
      <c r="AM40" s="46"/>
      <c r="AN40" s="46"/>
      <c r="AO40" s="46"/>
      <c r="AP40" s="46"/>
    </row>
    <row r="41" spans="1:42">
      <c r="A41" s="39">
        <f>A38+1</f>
        <v>13</v>
      </c>
      <c r="B41" s="39" t="s">
        <v>160</v>
      </c>
      <c r="C41" s="42" t="s">
        <v>24</v>
      </c>
      <c r="D41" s="10" t="s">
        <v>18</v>
      </c>
      <c r="E41" s="11"/>
      <c r="F41" s="11"/>
      <c r="G41" s="11"/>
      <c r="H41" s="11"/>
      <c r="I41" s="11"/>
      <c r="J41" s="11"/>
      <c r="K41" s="11"/>
      <c r="L41" s="11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39">
        <f>COUNTIFS(E41:AI42,"✓")/2</f>
        <v>0</v>
      </c>
      <c r="AK41" s="39">
        <f t="shared" ref="AK41" si="19">SUM(O43:AG43)</f>
        <v>0</v>
      </c>
      <c r="AL41" s="44">
        <v>230000</v>
      </c>
      <c r="AM41" s="44">
        <v>25000</v>
      </c>
      <c r="AN41" s="44">
        <f>AL41*AJ41</f>
        <v>0</v>
      </c>
      <c r="AO41" s="44">
        <f>AM41*AK41</f>
        <v>0</v>
      </c>
      <c r="AP41" s="44">
        <f t="shared" ref="AP41" si="20">AL41*AJ41+AM41*AK41</f>
        <v>0</v>
      </c>
    </row>
    <row r="42" spans="1:42">
      <c r="A42" s="40"/>
      <c r="B42" s="40"/>
      <c r="C42" s="43"/>
      <c r="D42" s="10" t="s">
        <v>20</v>
      </c>
      <c r="E42" s="11"/>
      <c r="F42" s="11"/>
      <c r="G42" s="11"/>
      <c r="H42" s="11"/>
      <c r="I42" s="11"/>
      <c r="J42" s="11"/>
      <c r="K42" s="11"/>
      <c r="L42" s="11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40"/>
      <c r="AK42" s="40"/>
      <c r="AL42" s="45"/>
      <c r="AM42" s="45"/>
      <c r="AN42" s="45"/>
      <c r="AO42" s="45"/>
      <c r="AP42" s="45"/>
    </row>
    <row r="43" spans="1:42">
      <c r="A43" s="40"/>
      <c r="B43" s="40"/>
      <c r="C43" s="43"/>
      <c r="D43" s="12" t="s">
        <v>21</v>
      </c>
      <c r="E43" s="11"/>
      <c r="F43" s="11"/>
      <c r="G43" s="11"/>
      <c r="H43" s="11"/>
      <c r="I43" s="11"/>
      <c r="J43" s="11"/>
      <c r="K43" s="11"/>
      <c r="L43" s="11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40"/>
      <c r="AK43" s="40"/>
      <c r="AL43" s="46"/>
      <c r="AM43" s="46"/>
      <c r="AN43" s="46"/>
      <c r="AO43" s="46"/>
      <c r="AP43" s="46"/>
    </row>
    <row r="44" spans="1:42">
      <c r="A44" s="39">
        <f>A41+1</f>
        <v>14</v>
      </c>
      <c r="B44" s="39" t="s">
        <v>161</v>
      </c>
      <c r="C44" s="42" t="s">
        <v>24</v>
      </c>
      <c r="D44" s="10" t="s">
        <v>18</v>
      </c>
      <c r="E44" s="11"/>
      <c r="F44" s="11"/>
      <c r="G44" s="11"/>
      <c r="H44" s="11"/>
      <c r="I44" s="11"/>
      <c r="J44" s="11"/>
      <c r="K44" s="11"/>
      <c r="L44" s="11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39">
        <f>COUNTIFS(E44:AI45,"✓")/2</f>
        <v>0</v>
      </c>
      <c r="AK44" s="39">
        <f>SUM(O46:AG46,AH46)</f>
        <v>0</v>
      </c>
      <c r="AL44" s="44">
        <v>230000</v>
      </c>
      <c r="AM44" s="44">
        <v>25000</v>
      </c>
      <c r="AN44" s="44">
        <f>AL44*AJ44</f>
        <v>0</v>
      </c>
      <c r="AO44" s="44">
        <f>AM44*AK44</f>
        <v>0</v>
      </c>
      <c r="AP44" s="44">
        <f t="shared" ref="AP44" si="21">AL44*AJ44+AM44*AK44</f>
        <v>0</v>
      </c>
    </row>
    <row r="45" spans="1:42">
      <c r="A45" s="40"/>
      <c r="B45" s="40"/>
      <c r="C45" s="43"/>
      <c r="D45" s="10" t="s">
        <v>20</v>
      </c>
      <c r="E45" s="11"/>
      <c r="F45" s="11"/>
      <c r="G45" s="11"/>
      <c r="H45" s="11"/>
      <c r="I45" s="11"/>
      <c r="J45" s="11"/>
      <c r="K45" s="11"/>
      <c r="L45" s="11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40"/>
      <c r="AK45" s="40"/>
      <c r="AL45" s="45"/>
      <c r="AM45" s="45"/>
      <c r="AN45" s="45"/>
      <c r="AO45" s="45"/>
      <c r="AP45" s="45"/>
    </row>
    <row r="46" spans="1:42">
      <c r="A46" s="40"/>
      <c r="B46" s="40"/>
      <c r="C46" s="43"/>
      <c r="D46" s="12" t="s">
        <v>21</v>
      </c>
      <c r="E46" s="11"/>
      <c r="F46" s="11"/>
      <c r="G46" s="11"/>
      <c r="H46" s="11"/>
      <c r="I46" s="11"/>
      <c r="J46" s="11"/>
      <c r="K46" s="11"/>
      <c r="L46" s="11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40"/>
      <c r="AK46" s="40"/>
      <c r="AL46" s="46"/>
      <c r="AM46" s="46"/>
      <c r="AN46" s="46"/>
      <c r="AO46" s="46"/>
      <c r="AP46" s="46"/>
    </row>
    <row r="47" spans="1:42">
      <c r="A47" s="39">
        <f>A44+1</f>
        <v>15</v>
      </c>
      <c r="B47" s="39" t="s">
        <v>162</v>
      </c>
      <c r="C47" s="42" t="s">
        <v>24</v>
      </c>
      <c r="D47" s="10" t="s">
        <v>18</v>
      </c>
      <c r="E47" s="11" t="s">
        <v>19</v>
      </c>
      <c r="F47" s="11" t="s">
        <v>19</v>
      </c>
      <c r="G47" s="11" t="s">
        <v>19</v>
      </c>
      <c r="H47" s="11" t="s">
        <v>19</v>
      </c>
      <c r="I47" s="11" t="s">
        <v>19</v>
      </c>
      <c r="J47" s="11" t="s">
        <v>19</v>
      </c>
      <c r="K47" s="11"/>
      <c r="L47" s="11" t="s">
        <v>19</v>
      </c>
      <c r="M47" s="11" t="s">
        <v>19</v>
      </c>
      <c r="N47" s="11" t="s">
        <v>19</v>
      </c>
      <c r="O47" s="11" t="s">
        <v>19</v>
      </c>
      <c r="P47" s="11" t="s">
        <v>19</v>
      </c>
      <c r="Q47" s="11" t="s">
        <v>19</v>
      </c>
      <c r="R47" s="11" t="s">
        <v>19</v>
      </c>
      <c r="S47" s="11" t="s">
        <v>19</v>
      </c>
      <c r="T47" s="11" t="s">
        <v>19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39">
        <f>COUNTIFS(E47:AI48,"✓")/2</f>
        <v>15</v>
      </c>
      <c r="AK47" s="39">
        <f>SUM(O49:AG49,AH49)</f>
        <v>2</v>
      </c>
      <c r="AL47" s="44">
        <v>380000</v>
      </c>
      <c r="AM47" s="44">
        <v>40000</v>
      </c>
      <c r="AN47" s="44">
        <f>AL47*AJ47</f>
        <v>5700000</v>
      </c>
      <c r="AO47" s="44">
        <f>AM47*AK47</f>
        <v>80000</v>
      </c>
      <c r="AP47" s="44">
        <f t="shared" ref="AP47" si="22">AL47*AJ47+AM47*AK47</f>
        <v>5780000</v>
      </c>
    </row>
    <row r="48" spans="1:42">
      <c r="A48" s="40"/>
      <c r="B48" s="40"/>
      <c r="C48" s="43"/>
      <c r="D48" s="10" t="s">
        <v>20</v>
      </c>
      <c r="E48" s="11" t="s">
        <v>19</v>
      </c>
      <c r="F48" s="11" t="s">
        <v>19</v>
      </c>
      <c r="G48" s="11" t="s">
        <v>19</v>
      </c>
      <c r="H48" s="11" t="s">
        <v>19</v>
      </c>
      <c r="I48" s="11" t="s">
        <v>19</v>
      </c>
      <c r="J48" s="11" t="s">
        <v>19</v>
      </c>
      <c r="K48" s="11"/>
      <c r="L48" s="11" t="s">
        <v>19</v>
      </c>
      <c r="M48" s="11" t="s">
        <v>19</v>
      </c>
      <c r="N48" s="11" t="s">
        <v>19</v>
      </c>
      <c r="O48" s="11" t="s">
        <v>19</v>
      </c>
      <c r="P48" s="11" t="s">
        <v>19</v>
      </c>
      <c r="Q48" s="11" t="s">
        <v>19</v>
      </c>
      <c r="R48" s="11" t="s">
        <v>19</v>
      </c>
      <c r="S48" s="11" t="s">
        <v>19</v>
      </c>
      <c r="T48" s="11" t="s">
        <v>19</v>
      </c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40"/>
      <c r="AK48" s="40"/>
      <c r="AL48" s="45"/>
      <c r="AM48" s="45"/>
      <c r="AN48" s="45"/>
      <c r="AO48" s="45"/>
      <c r="AP48" s="45"/>
    </row>
    <row r="49" spans="1:42">
      <c r="A49" s="40"/>
      <c r="B49" s="40"/>
      <c r="C49" s="43"/>
      <c r="D49" s="12" t="s">
        <v>21</v>
      </c>
      <c r="E49" s="11">
        <v>2</v>
      </c>
      <c r="F49" s="11"/>
      <c r="G49" s="11"/>
      <c r="H49" s="11">
        <v>2</v>
      </c>
      <c r="I49" s="11"/>
      <c r="J49" s="11"/>
      <c r="K49" s="11"/>
      <c r="L49" s="11"/>
      <c r="M49" s="11"/>
      <c r="N49" s="10"/>
      <c r="O49" s="10"/>
      <c r="P49" s="10"/>
      <c r="Q49" s="10"/>
      <c r="R49" s="10">
        <v>2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40"/>
      <c r="AK49" s="40"/>
      <c r="AL49" s="46"/>
      <c r="AM49" s="46"/>
      <c r="AN49" s="46"/>
      <c r="AO49" s="46"/>
      <c r="AP49" s="46"/>
    </row>
    <row r="50" spans="1:42">
      <c r="A50" s="39">
        <f>A47+1</f>
        <v>16</v>
      </c>
      <c r="B50" s="39" t="s">
        <v>163</v>
      </c>
      <c r="C50" s="42" t="s">
        <v>24</v>
      </c>
      <c r="D50" s="10" t="s">
        <v>18</v>
      </c>
      <c r="E50" s="11" t="s">
        <v>19</v>
      </c>
      <c r="F50" s="11"/>
      <c r="G50" s="11" t="s">
        <v>19</v>
      </c>
      <c r="H50" s="11" t="s">
        <v>19</v>
      </c>
      <c r="I50" s="11" t="s">
        <v>19</v>
      </c>
      <c r="J50" s="11" t="s">
        <v>19</v>
      </c>
      <c r="K50" s="11"/>
      <c r="L50" s="11" t="s">
        <v>19</v>
      </c>
      <c r="M50" s="11" t="s">
        <v>19</v>
      </c>
      <c r="N50" s="11" t="s">
        <v>19</v>
      </c>
      <c r="O50" s="10"/>
      <c r="P50" s="10"/>
      <c r="Q50" s="11" t="s">
        <v>19</v>
      </c>
      <c r="R50" s="11" t="s">
        <v>19</v>
      </c>
      <c r="S50" s="11" t="s">
        <v>19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39">
        <f>COUNTIFS(E50:AI51,"✓")/2</f>
        <v>11</v>
      </c>
      <c r="AK50" s="39">
        <f>SUM(O52:AG52,AH52)</f>
        <v>0</v>
      </c>
      <c r="AL50" s="44">
        <v>230000</v>
      </c>
      <c r="AM50" s="44">
        <v>25000</v>
      </c>
      <c r="AN50" s="44">
        <f>AL50*AJ50</f>
        <v>2530000</v>
      </c>
      <c r="AO50" s="44">
        <f>AM50*AK50</f>
        <v>0</v>
      </c>
      <c r="AP50" s="44">
        <f t="shared" ref="AP50" si="23">AL50*AJ50+AM50*AK50</f>
        <v>2530000</v>
      </c>
    </row>
    <row r="51" spans="1:42">
      <c r="A51" s="40"/>
      <c r="B51" s="40"/>
      <c r="C51" s="43"/>
      <c r="D51" s="10" t="s">
        <v>20</v>
      </c>
      <c r="E51" s="11" t="s">
        <v>19</v>
      </c>
      <c r="F51" s="11"/>
      <c r="G51" s="11" t="s">
        <v>19</v>
      </c>
      <c r="H51" s="11" t="s">
        <v>19</v>
      </c>
      <c r="I51" s="11" t="s">
        <v>19</v>
      </c>
      <c r="J51" s="11" t="s">
        <v>19</v>
      </c>
      <c r="K51" s="11"/>
      <c r="L51" s="11" t="s">
        <v>19</v>
      </c>
      <c r="M51" s="11" t="s">
        <v>19</v>
      </c>
      <c r="N51" s="11" t="s">
        <v>19</v>
      </c>
      <c r="O51" s="10"/>
      <c r="P51" s="10"/>
      <c r="Q51" s="11" t="s">
        <v>19</v>
      </c>
      <c r="R51" s="11" t="s">
        <v>19</v>
      </c>
      <c r="S51" s="11" t="s">
        <v>19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40"/>
      <c r="AK51" s="40"/>
      <c r="AL51" s="45"/>
      <c r="AM51" s="45"/>
      <c r="AN51" s="45"/>
      <c r="AO51" s="45"/>
      <c r="AP51" s="45"/>
    </row>
    <row r="52" spans="1:42">
      <c r="A52" s="40"/>
      <c r="B52" s="40"/>
      <c r="C52" s="43"/>
      <c r="D52" s="12" t="s">
        <v>21</v>
      </c>
      <c r="E52" s="11">
        <v>1.5</v>
      </c>
      <c r="F52" s="11"/>
      <c r="G52" s="11"/>
      <c r="H52" s="11">
        <v>2</v>
      </c>
      <c r="I52" s="11"/>
      <c r="J52" s="11"/>
      <c r="K52" s="11"/>
      <c r="L52" s="11"/>
      <c r="M52" s="11"/>
      <c r="N52" s="10">
        <v>2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40"/>
      <c r="AK52" s="40"/>
      <c r="AL52" s="46"/>
      <c r="AM52" s="46"/>
      <c r="AN52" s="46"/>
      <c r="AO52" s="46"/>
      <c r="AP52" s="46"/>
    </row>
    <row r="53" spans="1:42">
      <c r="A53" s="39">
        <f>A50+1</f>
        <v>17</v>
      </c>
      <c r="B53" s="39" t="s">
        <v>164</v>
      </c>
      <c r="C53" s="42" t="s">
        <v>24</v>
      </c>
      <c r="D53" s="10" t="s">
        <v>18</v>
      </c>
      <c r="E53" s="11"/>
      <c r="F53" s="11"/>
      <c r="G53" s="11"/>
      <c r="H53" s="11"/>
      <c r="I53" s="11"/>
      <c r="J53" s="11"/>
      <c r="K53" s="11"/>
      <c r="L53" s="11" t="s">
        <v>19</v>
      </c>
      <c r="M53" s="11" t="s">
        <v>19</v>
      </c>
      <c r="N53" s="11" t="s">
        <v>19</v>
      </c>
      <c r="O53" s="11" t="s">
        <v>19</v>
      </c>
      <c r="P53" s="11" t="s">
        <v>19</v>
      </c>
      <c r="Q53" s="11" t="s">
        <v>19</v>
      </c>
      <c r="R53" s="11" t="s">
        <v>19</v>
      </c>
      <c r="S53" s="11" t="s">
        <v>19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39">
        <f>COUNTIFS(E53:AI54,"✓")/2</f>
        <v>8</v>
      </c>
      <c r="AK53" s="39">
        <f>SUM(O55:AG55,AH55)</f>
        <v>2</v>
      </c>
      <c r="AL53" s="44">
        <v>230000</v>
      </c>
      <c r="AM53" s="44">
        <v>25000</v>
      </c>
      <c r="AN53" s="44">
        <f>AL53*AJ53</f>
        <v>1840000</v>
      </c>
      <c r="AO53" s="44">
        <f>AM53*AK53</f>
        <v>50000</v>
      </c>
      <c r="AP53" s="44">
        <f t="shared" ref="AP53" si="24">AL53*AJ53+AM53*AK53</f>
        <v>1890000</v>
      </c>
    </row>
    <row r="54" spans="1:42">
      <c r="A54" s="40"/>
      <c r="B54" s="40"/>
      <c r="C54" s="43"/>
      <c r="D54" s="10" t="s">
        <v>20</v>
      </c>
      <c r="E54" s="11"/>
      <c r="F54" s="11"/>
      <c r="G54" s="11"/>
      <c r="H54" s="11"/>
      <c r="I54" s="11"/>
      <c r="J54" s="11"/>
      <c r="K54" s="11"/>
      <c r="L54" s="11" t="s">
        <v>19</v>
      </c>
      <c r="M54" s="11" t="s">
        <v>19</v>
      </c>
      <c r="N54" s="11" t="s">
        <v>19</v>
      </c>
      <c r="O54" s="11" t="s">
        <v>19</v>
      </c>
      <c r="P54" s="11" t="s">
        <v>19</v>
      </c>
      <c r="Q54" s="11" t="s">
        <v>19</v>
      </c>
      <c r="R54" s="11" t="s">
        <v>19</v>
      </c>
      <c r="S54" s="11" t="s">
        <v>19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40"/>
      <c r="AK54" s="40"/>
      <c r="AL54" s="45"/>
      <c r="AM54" s="45"/>
      <c r="AN54" s="45"/>
      <c r="AO54" s="45"/>
      <c r="AP54" s="45"/>
    </row>
    <row r="55" spans="1:42">
      <c r="A55" s="40"/>
      <c r="B55" s="40"/>
      <c r="C55" s="43"/>
      <c r="D55" s="12" t="s">
        <v>21</v>
      </c>
      <c r="E55" s="11"/>
      <c r="F55" s="11"/>
      <c r="G55" s="11"/>
      <c r="H55" s="11"/>
      <c r="I55" s="11"/>
      <c r="J55" s="11"/>
      <c r="K55" s="11"/>
      <c r="L55" s="11"/>
      <c r="M55" s="11"/>
      <c r="N55" s="10">
        <v>2</v>
      </c>
      <c r="O55" s="10"/>
      <c r="P55" s="10"/>
      <c r="Q55" s="10"/>
      <c r="R55" s="10">
        <v>2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40"/>
      <c r="AK55" s="40"/>
      <c r="AL55" s="46"/>
      <c r="AM55" s="46"/>
      <c r="AN55" s="46"/>
      <c r="AO55" s="46"/>
      <c r="AP55" s="46"/>
    </row>
    <row r="56" spans="1:42">
      <c r="A56" s="39">
        <f>A53+1</f>
        <v>18</v>
      </c>
      <c r="B56" s="39" t="s">
        <v>165</v>
      </c>
      <c r="C56" s="42" t="s">
        <v>24</v>
      </c>
      <c r="D56" s="10" t="s">
        <v>18</v>
      </c>
      <c r="E56" s="11"/>
      <c r="F56" s="11"/>
      <c r="G56" s="11" t="s">
        <v>19</v>
      </c>
      <c r="H56" s="11"/>
      <c r="I56" s="11" t="s">
        <v>19</v>
      </c>
      <c r="J56" s="11" t="s">
        <v>19</v>
      </c>
      <c r="K56" s="11" t="s">
        <v>19</v>
      </c>
      <c r="L56" s="11" t="s">
        <v>19</v>
      </c>
      <c r="M56" s="11" t="s">
        <v>19</v>
      </c>
      <c r="N56" s="11" t="s">
        <v>19</v>
      </c>
      <c r="O56" s="11" t="s">
        <v>19</v>
      </c>
      <c r="P56" s="11" t="s">
        <v>19</v>
      </c>
      <c r="Q56" s="10"/>
      <c r="R56" s="11" t="s">
        <v>19</v>
      </c>
      <c r="S56" s="11" t="s">
        <v>19</v>
      </c>
      <c r="T56" s="11" t="s">
        <v>19</v>
      </c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39">
        <f>COUNTIFS(E56:AI57,"✓")/2</f>
        <v>12</v>
      </c>
      <c r="AK56" s="39">
        <f>SUM(O58:AG58,AH58)</f>
        <v>4.5</v>
      </c>
      <c r="AL56" s="44">
        <v>230000</v>
      </c>
      <c r="AM56" s="44">
        <v>25000</v>
      </c>
      <c r="AN56" s="44">
        <f>AL56*AJ56</f>
        <v>2760000</v>
      </c>
      <c r="AO56" s="44">
        <f>AM56*AK56</f>
        <v>112500</v>
      </c>
      <c r="AP56" s="44">
        <f t="shared" ref="AP56" si="25">AL56*AJ56+AM56*AK56</f>
        <v>2872500</v>
      </c>
    </row>
    <row r="57" spans="1:42">
      <c r="A57" s="40"/>
      <c r="B57" s="40"/>
      <c r="C57" s="43"/>
      <c r="D57" s="10" t="s">
        <v>20</v>
      </c>
      <c r="E57" s="11"/>
      <c r="F57" s="11"/>
      <c r="G57" s="11" t="s">
        <v>19</v>
      </c>
      <c r="H57" s="11"/>
      <c r="I57" s="11" t="s">
        <v>19</v>
      </c>
      <c r="J57" s="11" t="s">
        <v>19</v>
      </c>
      <c r="K57" s="11" t="s">
        <v>19</v>
      </c>
      <c r="L57" s="11" t="s">
        <v>19</v>
      </c>
      <c r="M57" s="11" t="s">
        <v>19</v>
      </c>
      <c r="N57" s="11" t="s">
        <v>19</v>
      </c>
      <c r="O57" s="11" t="s">
        <v>19</v>
      </c>
      <c r="P57" s="11" t="s">
        <v>19</v>
      </c>
      <c r="Q57" s="10"/>
      <c r="R57" s="11" t="s">
        <v>19</v>
      </c>
      <c r="S57" s="11" t="s">
        <v>19</v>
      </c>
      <c r="T57" s="11" t="s">
        <v>19</v>
      </c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40"/>
      <c r="AK57" s="40"/>
      <c r="AL57" s="45"/>
      <c r="AM57" s="45"/>
      <c r="AN57" s="45"/>
      <c r="AO57" s="45"/>
      <c r="AP57" s="45"/>
    </row>
    <row r="58" spans="1:42">
      <c r="A58" s="40"/>
      <c r="B58" s="40"/>
      <c r="C58" s="43"/>
      <c r="D58" s="12" t="s">
        <v>21</v>
      </c>
      <c r="E58" s="11"/>
      <c r="F58" s="11"/>
      <c r="G58" s="11"/>
      <c r="H58" s="11"/>
      <c r="I58" s="11"/>
      <c r="J58" s="11"/>
      <c r="K58" s="11">
        <v>1</v>
      </c>
      <c r="L58" s="11">
        <v>3.5</v>
      </c>
      <c r="M58" s="11">
        <v>2</v>
      </c>
      <c r="N58" s="10"/>
      <c r="O58" s="10"/>
      <c r="P58" s="10"/>
      <c r="Q58" s="10"/>
      <c r="R58" s="10">
        <v>3.5</v>
      </c>
      <c r="S58" s="10"/>
      <c r="T58" s="10">
        <v>1</v>
      </c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40"/>
      <c r="AK58" s="40"/>
      <c r="AL58" s="46"/>
      <c r="AM58" s="46"/>
      <c r="AN58" s="46"/>
      <c r="AO58" s="46"/>
      <c r="AP58" s="46"/>
    </row>
    <row r="59" spans="1:42">
      <c r="A59" s="39">
        <f>A56+1</f>
        <v>19</v>
      </c>
      <c r="B59" s="39" t="s">
        <v>166</v>
      </c>
      <c r="C59" s="42" t="s">
        <v>24</v>
      </c>
      <c r="D59" s="10" t="s">
        <v>18</v>
      </c>
      <c r="E59" s="11" t="s">
        <v>19</v>
      </c>
      <c r="F59" s="11"/>
      <c r="G59" s="11" t="s">
        <v>19</v>
      </c>
      <c r="H59" s="11" t="s">
        <v>19</v>
      </c>
      <c r="I59" s="11"/>
      <c r="J59" s="11" t="s">
        <v>19</v>
      </c>
      <c r="K59" s="11"/>
      <c r="L59" s="11" t="s">
        <v>19</v>
      </c>
      <c r="M59" s="11" t="s">
        <v>19</v>
      </c>
      <c r="N59" s="11" t="s">
        <v>19</v>
      </c>
      <c r="O59" s="11" t="s">
        <v>19</v>
      </c>
      <c r="P59" s="11" t="s">
        <v>19</v>
      </c>
      <c r="Q59" s="11" t="s">
        <v>19</v>
      </c>
      <c r="R59" s="11" t="s">
        <v>19</v>
      </c>
      <c r="S59" s="11" t="s">
        <v>19</v>
      </c>
      <c r="T59" s="11" t="s">
        <v>19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39">
        <f>COUNTIFS(E59:AI60,"✓")/2</f>
        <v>12.5</v>
      </c>
      <c r="AK59" s="39">
        <f t="shared" ref="AK59" si="26">SUM(O61:AG61)</f>
        <v>0</v>
      </c>
      <c r="AL59" s="44">
        <v>280000</v>
      </c>
      <c r="AM59" s="44">
        <v>30000</v>
      </c>
      <c r="AN59" s="44">
        <f>AL59*AJ59</f>
        <v>3500000</v>
      </c>
      <c r="AO59" s="44">
        <f>AM59*AK59</f>
        <v>0</v>
      </c>
      <c r="AP59" s="44">
        <f t="shared" ref="AP59" si="27">AL59*AJ59+AM59*AK59</f>
        <v>3500000</v>
      </c>
    </row>
    <row r="60" spans="1:42">
      <c r="A60" s="40"/>
      <c r="B60" s="40"/>
      <c r="C60" s="43"/>
      <c r="D60" s="10" t="s">
        <v>20</v>
      </c>
      <c r="E60" s="11"/>
      <c r="F60" s="11"/>
      <c r="G60" s="11" t="s">
        <v>19</v>
      </c>
      <c r="H60" s="11" t="s">
        <v>19</v>
      </c>
      <c r="I60" s="11"/>
      <c r="J60" s="11" t="s">
        <v>19</v>
      </c>
      <c r="K60" s="11"/>
      <c r="L60" s="11" t="s">
        <v>19</v>
      </c>
      <c r="M60" s="11" t="s">
        <v>19</v>
      </c>
      <c r="N60" s="11" t="s">
        <v>19</v>
      </c>
      <c r="O60" s="11" t="s">
        <v>19</v>
      </c>
      <c r="P60" s="11" t="s">
        <v>19</v>
      </c>
      <c r="Q60" s="11" t="s">
        <v>19</v>
      </c>
      <c r="R60" s="11" t="s">
        <v>19</v>
      </c>
      <c r="S60" s="11" t="s">
        <v>19</v>
      </c>
      <c r="T60" s="11" t="s">
        <v>19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40"/>
      <c r="AK60" s="40"/>
      <c r="AL60" s="45"/>
      <c r="AM60" s="45"/>
      <c r="AN60" s="45"/>
      <c r="AO60" s="45"/>
      <c r="AP60" s="45"/>
    </row>
    <row r="61" spans="1:42">
      <c r="A61" s="40"/>
      <c r="B61" s="40"/>
      <c r="C61" s="43"/>
      <c r="D61" s="12" t="s">
        <v>21</v>
      </c>
      <c r="E61" s="11"/>
      <c r="F61" s="11"/>
      <c r="G61" s="11"/>
      <c r="H61" s="11"/>
      <c r="I61" s="11"/>
      <c r="J61" s="11"/>
      <c r="K61" s="11"/>
      <c r="L61" s="11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40"/>
      <c r="AK61" s="40"/>
      <c r="AL61" s="46"/>
      <c r="AM61" s="46"/>
      <c r="AN61" s="46"/>
      <c r="AO61" s="46"/>
      <c r="AP61" s="46"/>
    </row>
    <row r="62" spans="1:42">
      <c r="A62" s="39">
        <f>A59+1</f>
        <v>20</v>
      </c>
      <c r="B62" s="39" t="s">
        <v>81</v>
      </c>
      <c r="C62" s="42" t="s">
        <v>24</v>
      </c>
      <c r="D62" s="10" t="s">
        <v>18</v>
      </c>
      <c r="E62" s="11" t="s">
        <v>19</v>
      </c>
      <c r="F62" s="11"/>
      <c r="G62" s="11" t="s">
        <v>19</v>
      </c>
      <c r="H62" s="11" t="s">
        <v>19</v>
      </c>
      <c r="I62" s="11"/>
      <c r="J62" s="11" t="s">
        <v>19</v>
      </c>
      <c r="K62" s="11"/>
      <c r="L62" s="11" t="s">
        <v>19</v>
      </c>
      <c r="M62" s="11" t="s">
        <v>19</v>
      </c>
      <c r="N62" s="11" t="s">
        <v>19</v>
      </c>
      <c r="O62" s="11" t="s">
        <v>19</v>
      </c>
      <c r="P62" s="11" t="s">
        <v>19</v>
      </c>
      <c r="Q62" s="11" t="s">
        <v>19</v>
      </c>
      <c r="R62" s="11" t="s">
        <v>19</v>
      </c>
      <c r="S62" s="11" t="s">
        <v>19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39">
        <f>COUNTIFS(E62:AI63,"✓")/2</f>
        <v>11.5</v>
      </c>
      <c r="AK62" s="39">
        <f>SUM(O64:AG64,AH64)</f>
        <v>0</v>
      </c>
      <c r="AL62" s="44">
        <v>230000</v>
      </c>
      <c r="AM62" s="44">
        <v>25000</v>
      </c>
      <c r="AN62" s="44">
        <f>AL62*AJ62</f>
        <v>2645000</v>
      </c>
      <c r="AO62" s="44">
        <f>AM62*AK62</f>
        <v>0</v>
      </c>
      <c r="AP62" s="44">
        <f t="shared" ref="AP62" si="28">AL62*AJ62+AM62*AK62</f>
        <v>2645000</v>
      </c>
    </row>
    <row r="63" spans="1:42">
      <c r="A63" s="40"/>
      <c r="B63" s="40"/>
      <c r="C63" s="43"/>
      <c r="D63" s="10" t="s">
        <v>20</v>
      </c>
      <c r="E63" s="11"/>
      <c r="F63" s="11"/>
      <c r="G63" s="11" t="s">
        <v>19</v>
      </c>
      <c r="H63" s="11" t="s">
        <v>19</v>
      </c>
      <c r="I63" s="11"/>
      <c r="J63" s="11" t="s">
        <v>19</v>
      </c>
      <c r="K63" s="11"/>
      <c r="L63" s="11" t="s">
        <v>19</v>
      </c>
      <c r="M63" s="11" t="s">
        <v>19</v>
      </c>
      <c r="N63" s="11" t="s">
        <v>19</v>
      </c>
      <c r="O63" s="11" t="s">
        <v>19</v>
      </c>
      <c r="P63" s="11" t="s">
        <v>19</v>
      </c>
      <c r="Q63" s="11" t="s">
        <v>19</v>
      </c>
      <c r="R63" s="11" t="s">
        <v>19</v>
      </c>
      <c r="S63" s="11" t="s">
        <v>19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40"/>
      <c r="AK63" s="40"/>
      <c r="AL63" s="45"/>
      <c r="AM63" s="45"/>
      <c r="AN63" s="45"/>
      <c r="AO63" s="45"/>
      <c r="AP63" s="45"/>
    </row>
    <row r="64" spans="1:42">
      <c r="A64" s="40"/>
      <c r="B64" s="40"/>
      <c r="C64" s="43"/>
      <c r="D64" s="12" t="s">
        <v>21</v>
      </c>
      <c r="E64" s="11"/>
      <c r="F64" s="11"/>
      <c r="G64" s="11"/>
      <c r="H64" s="11"/>
      <c r="I64" s="11"/>
      <c r="J64" s="11"/>
      <c r="K64" s="11"/>
      <c r="L64" s="11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40"/>
      <c r="AK64" s="40"/>
      <c r="AL64" s="46"/>
      <c r="AM64" s="46"/>
      <c r="AN64" s="46"/>
      <c r="AO64" s="46"/>
      <c r="AP64" s="46"/>
    </row>
    <row r="65" spans="1:42">
      <c r="A65" s="39">
        <f>A62+1</f>
        <v>21</v>
      </c>
      <c r="B65" s="39" t="s">
        <v>167</v>
      </c>
      <c r="C65" s="42" t="s">
        <v>24</v>
      </c>
      <c r="D65" s="10" t="s">
        <v>18</v>
      </c>
      <c r="E65" s="11"/>
      <c r="F65" s="11"/>
      <c r="G65" s="11"/>
      <c r="H65" s="11"/>
      <c r="I65" s="11"/>
      <c r="J65" s="11"/>
      <c r="K65" s="11"/>
      <c r="L65" s="11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39">
        <f>COUNTIFS(E65:AI66,"✓")/2</f>
        <v>0</v>
      </c>
      <c r="AK65" s="39">
        <f t="shared" ref="AK65" si="29">SUM(O67:AG67)</f>
        <v>0</v>
      </c>
      <c r="AL65" s="44">
        <v>230000</v>
      </c>
      <c r="AM65" s="44">
        <v>25000</v>
      </c>
      <c r="AN65" s="44">
        <f>AL65*AJ65</f>
        <v>0</v>
      </c>
      <c r="AO65" s="44">
        <f>AM65*AK65</f>
        <v>0</v>
      </c>
      <c r="AP65" s="44">
        <f t="shared" ref="AP65" si="30">AL65*AJ65+AM65*AK65</f>
        <v>0</v>
      </c>
    </row>
    <row r="66" spans="1:42">
      <c r="A66" s="40"/>
      <c r="B66" s="40"/>
      <c r="C66" s="43"/>
      <c r="D66" s="10" t="s">
        <v>20</v>
      </c>
      <c r="E66" s="11"/>
      <c r="F66" s="11"/>
      <c r="G66" s="11"/>
      <c r="H66" s="11"/>
      <c r="I66" s="11"/>
      <c r="J66" s="11"/>
      <c r="K66" s="11"/>
      <c r="L66" s="11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40"/>
      <c r="AK66" s="40"/>
      <c r="AL66" s="45"/>
      <c r="AM66" s="45"/>
      <c r="AN66" s="45"/>
      <c r="AO66" s="45"/>
      <c r="AP66" s="45"/>
    </row>
    <row r="67" spans="1:42">
      <c r="A67" s="40"/>
      <c r="B67" s="40"/>
      <c r="C67" s="43"/>
      <c r="D67" s="12" t="s">
        <v>21</v>
      </c>
      <c r="E67" s="11"/>
      <c r="F67" s="11"/>
      <c r="G67" s="11"/>
      <c r="H67" s="11"/>
      <c r="I67" s="11"/>
      <c r="J67" s="11"/>
      <c r="K67" s="11"/>
      <c r="L67" s="11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40"/>
      <c r="AK67" s="40"/>
      <c r="AL67" s="46"/>
      <c r="AM67" s="46"/>
      <c r="AN67" s="46"/>
      <c r="AO67" s="46"/>
      <c r="AP67" s="46"/>
    </row>
    <row r="68" spans="1:42">
      <c r="A68" s="39">
        <f>A65+1</f>
        <v>22</v>
      </c>
      <c r="B68" s="39"/>
      <c r="C68" s="42" t="s">
        <v>24</v>
      </c>
      <c r="D68" s="10" t="s">
        <v>18</v>
      </c>
      <c r="E68" s="11"/>
      <c r="F68" s="11"/>
      <c r="G68" s="11"/>
      <c r="H68" s="11"/>
      <c r="I68" s="11"/>
      <c r="J68" s="11"/>
      <c r="K68" s="11"/>
      <c r="L68" s="11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39">
        <f>COUNTIFS(E68:AI69,"✓")/2</f>
        <v>0</v>
      </c>
      <c r="AK68" s="39">
        <f>SUM(N70:AG70)</f>
        <v>0</v>
      </c>
      <c r="AL68" s="44">
        <v>230000</v>
      </c>
      <c r="AM68" s="44">
        <v>25000</v>
      </c>
      <c r="AN68" s="44">
        <f>AL68*AJ68</f>
        <v>0</v>
      </c>
      <c r="AO68" s="44">
        <f>AM68*AK68</f>
        <v>0</v>
      </c>
      <c r="AP68" s="44">
        <f t="shared" ref="AP68" si="31">AL68*AJ68+AM68*AK68</f>
        <v>0</v>
      </c>
    </row>
    <row r="69" spans="1:42">
      <c r="A69" s="40"/>
      <c r="B69" s="40"/>
      <c r="C69" s="43"/>
      <c r="D69" s="10" t="s">
        <v>20</v>
      </c>
      <c r="E69" s="11"/>
      <c r="F69" s="11"/>
      <c r="G69" s="11"/>
      <c r="H69" s="11"/>
      <c r="I69" s="11"/>
      <c r="J69" s="11"/>
      <c r="K69" s="11"/>
      <c r="L69" s="11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40"/>
      <c r="AK69" s="40"/>
      <c r="AL69" s="45"/>
      <c r="AM69" s="45"/>
      <c r="AN69" s="45"/>
      <c r="AO69" s="45"/>
      <c r="AP69" s="45"/>
    </row>
    <row r="70" spans="1:42">
      <c r="A70" s="40"/>
      <c r="B70" s="40"/>
      <c r="C70" s="43"/>
      <c r="D70" s="12" t="s">
        <v>21</v>
      </c>
      <c r="E70" s="11"/>
      <c r="F70" s="11"/>
      <c r="G70" s="11"/>
      <c r="H70" s="11"/>
      <c r="I70" s="11"/>
      <c r="J70" s="11"/>
      <c r="K70" s="11"/>
      <c r="L70" s="11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40"/>
      <c r="AK70" s="40"/>
      <c r="AL70" s="46"/>
      <c r="AM70" s="46"/>
      <c r="AN70" s="46"/>
      <c r="AO70" s="46"/>
      <c r="AP70" s="46"/>
    </row>
    <row r="71" spans="1:42">
      <c r="A71" s="39">
        <f>A68+1</f>
        <v>23</v>
      </c>
      <c r="B71" s="39"/>
      <c r="C71" s="42" t="s">
        <v>24</v>
      </c>
      <c r="D71" s="10" t="s">
        <v>18</v>
      </c>
      <c r="E71" s="11"/>
      <c r="F71" s="11"/>
      <c r="G71" s="11"/>
      <c r="H71" s="11"/>
      <c r="I71" s="11"/>
      <c r="J71" s="11"/>
      <c r="K71" s="11"/>
      <c r="L71" s="11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39">
        <f>COUNTIFS(E71:AI72,"✓")/2</f>
        <v>0</v>
      </c>
      <c r="AK71" s="39">
        <f t="shared" ref="AK71" si="32">SUM(O73:AG73)</f>
        <v>0</v>
      </c>
      <c r="AL71" s="44">
        <v>230000</v>
      </c>
      <c r="AM71" s="44">
        <v>25000</v>
      </c>
      <c r="AN71" s="44">
        <f>AL71*AJ71</f>
        <v>0</v>
      </c>
      <c r="AO71" s="44">
        <f>AM71*AK71</f>
        <v>0</v>
      </c>
      <c r="AP71" s="44">
        <f t="shared" ref="AP71" si="33">AL71*AJ71+AM71*AK71</f>
        <v>0</v>
      </c>
    </row>
    <row r="72" spans="1:42">
      <c r="A72" s="40"/>
      <c r="B72" s="40"/>
      <c r="C72" s="43"/>
      <c r="D72" s="10" t="s">
        <v>20</v>
      </c>
      <c r="E72" s="11"/>
      <c r="F72" s="11"/>
      <c r="G72" s="11"/>
      <c r="H72" s="11"/>
      <c r="I72" s="11"/>
      <c r="J72" s="11"/>
      <c r="K72" s="11"/>
      <c r="L72" s="11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40"/>
      <c r="AK72" s="40"/>
      <c r="AL72" s="45"/>
      <c r="AM72" s="45"/>
      <c r="AN72" s="45"/>
      <c r="AO72" s="45"/>
      <c r="AP72" s="45"/>
    </row>
    <row r="73" spans="1:42">
      <c r="A73" s="40"/>
      <c r="B73" s="40"/>
      <c r="C73" s="43"/>
      <c r="D73" s="12" t="s">
        <v>21</v>
      </c>
      <c r="E73" s="11"/>
      <c r="F73" s="11"/>
      <c r="G73" s="11"/>
      <c r="H73" s="11"/>
      <c r="I73" s="11"/>
      <c r="J73" s="11"/>
      <c r="K73" s="11"/>
      <c r="L73" s="11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40"/>
      <c r="AK73" s="40"/>
      <c r="AL73" s="46"/>
      <c r="AM73" s="46"/>
      <c r="AN73" s="46"/>
      <c r="AO73" s="46"/>
      <c r="AP73" s="46"/>
    </row>
    <row r="74" spans="1:42">
      <c r="A74" s="39">
        <f>A71+1</f>
        <v>24</v>
      </c>
      <c r="B74" s="39"/>
      <c r="C74" s="42" t="s">
        <v>24</v>
      </c>
      <c r="D74" s="10" t="s">
        <v>18</v>
      </c>
      <c r="E74" s="11"/>
      <c r="F74" s="11"/>
      <c r="G74" s="11"/>
      <c r="H74" s="11"/>
      <c r="I74" s="11"/>
      <c r="J74" s="11"/>
      <c r="K74" s="11"/>
      <c r="L74" s="11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39">
        <f>COUNTIFS(E74:AI75,"✓")/2</f>
        <v>0</v>
      </c>
      <c r="AK74" s="39">
        <f t="shared" ref="AK74" si="34">SUM(O76:AG76)</f>
        <v>0</v>
      </c>
      <c r="AL74" s="44">
        <v>230000</v>
      </c>
      <c r="AM74" s="44">
        <v>25000</v>
      </c>
      <c r="AN74" s="44">
        <f>AL74*AJ74</f>
        <v>0</v>
      </c>
      <c r="AO74" s="44">
        <f>AM74*AK74</f>
        <v>0</v>
      </c>
      <c r="AP74" s="44">
        <f t="shared" ref="AP74" si="35">AL74*AJ74+AM74*AK74</f>
        <v>0</v>
      </c>
    </row>
    <row r="75" spans="1:42">
      <c r="A75" s="40"/>
      <c r="B75" s="40"/>
      <c r="C75" s="43"/>
      <c r="D75" s="10" t="s">
        <v>20</v>
      </c>
      <c r="E75" s="11"/>
      <c r="F75" s="11"/>
      <c r="G75" s="11"/>
      <c r="H75" s="11"/>
      <c r="I75" s="11"/>
      <c r="J75" s="11"/>
      <c r="K75" s="11"/>
      <c r="L75" s="11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40"/>
      <c r="AK75" s="40"/>
      <c r="AL75" s="45"/>
      <c r="AM75" s="45"/>
      <c r="AN75" s="45"/>
      <c r="AO75" s="45"/>
      <c r="AP75" s="45"/>
    </row>
    <row r="76" spans="1:42">
      <c r="A76" s="40"/>
      <c r="B76" s="40"/>
      <c r="C76" s="43"/>
      <c r="D76" s="12" t="s">
        <v>21</v>
      </c>
      <c r="E76" s="11"/>
      <c r="F76" s="11"/>
      <c r="G76" s="11"/>
      <c r="H76" s="11"/>
      <c r="I76" s="11"/>
      <c r="J76" s="11"/>
      <c r="K76" s="11"/>
      <c r="L76" s="11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40"/>
      <c r="AK76" s="40"/>
      <c r="AL76" s="46"/>
      <c r="AM76" s="46"/>
      <c r="AN76" s="46"/>
      <c r="AO76" s="46"/>
      <c r="AP76" s="46"/>
    </row>
    <row r="77" spans="1:42">
      <c r="A77" s="39">
        <f>A74+1</f>
        <v>25</v>
      </c>
      <c r="B77" s="39"/>
      <c r="C77" s="42" t="s">
        <v>24</v>
      </c>
      <c r="D77" s="10" t="s">
        <v>18</v>
      </c>
      <c r="E77" s="11"/>
      <c r="F77" s="11"/>
      <c r="G77" s="11"/>
      <c r="H77" s="11"/>
      <c r="I77" s="11"/>
      <c r="J77" s="11"/>
      <c r="K77" s="11"/>
      <c r="L77" s="11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39">
        <f>COUNTIFS(E77:AI78,"✓")/2</f>
        <v>0</v>
      </c>
      <c r="AK77" s="39">
        <f t="shared" ref="AK77" si="36">SUM(O79:AG79)</f>
        <v>0</v>
      </c>
      <c r="AL77" s="44">
        <v>230000</v>
      </c>
      <c r="AM77" s="44">
        <v>25000</v>
      </c>
      <c r="AN77" s="44">
        <f>AL77*AJ77</f>
        <v>0</v>
      </c>
      <c r="AO77" s="44">
        <f>AM77*AK77</f>
        <v>0</v>
      </c>
      <c r="AP77" s="44">
        <f t="shared" ref="AP77" si="37">AL77*AJ77+AM77*AK77</f>
        <v>0</v>
      </c>
    </row>
    <row r="78" spans="1:42">
      <c r="A78" s="40"/>
      <c r="B78" s="40"/>
      <c r="C78" s="43"/>
      <c r="D78" s="10" t="s">
        <v>20</v>
      </c>
      <c r="E78" s="11"/>
      <c r="F78" s="11"/>
      <c r="G78" s="11"/>
      <c r="H78" s="11"/>
      <c r="I78" s="11"/>
      <c r="J78" s="11"/>
      <c r="K78" s="11"/>
      <c r="L78" s="11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40"/>
      <c r="AK78" s="40"/>
      <c r="AL78" s="45"/>
      <c r="AM78" s="45"/>
      <c r="AN78" s="45"/>
      <c r="AO78" s="45"/>
      <c r="AP78" s="45"/>
    </row>
    <row r="79" spans="1:42">
      <c r="A79" s="40"/>
      <c r="B79" s="40"/>
      <c r="C79" s="43"/>
      <c r="D79" s="12" t="s">
        <v>21</v>
      </c>
      <c r="E79" s="11"/>
      <c r="F79" s="11"/>
      <c r="G79" s="11"/>
      <c r="H79" s="11"/>
      <c r="I79" s="11"/>
      <c r="J79" s="11"/>
      <c r="K79" s="11"/>
      <c r="L79" s="11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40"/>
      <c r="AK79" s="40"/>
      <c r="AL79" s="46"/>
      <c r="AM79" s="46"/>
      <c r="AN79" s="46"/>
      <c r="AO79" s="46"/>
      <c r="AP79" s="46"/>
    </row>
    <row r="80" spans="1:42">
      <c r="A80" s="39">
        <f>A77+1</f>
        <v>26</v>
      </c>
      <c r="B80" s="39"/>
      <c r="C80" s="42" t="s">
        <v>24</v>
      </c>
      <c r="D80" s="10" t="s">
        <v>18</v>
      </c>
      <c r="E80" s="11"/>
      <c r="F80" s="11"/>
      <c r="G80" s="11"/>
      <c r="H80" s="11"/>
      <c r="I80" s="11"/>
      <c r="J80" s="11"/>
      <c r="K80" s="11"/>
      <c r="L80" s="11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39">
        <f>COUNTIFS(E80:AI81,"✓")/2</f>
        <v>0</v>
      </c>
      <c r="AK80" s="39">
        <f t="shared" ref="AK80" si="38">SUM(O82:AG82)</f>
        <v>0</v>
      </c>
      <c r="AL80" s="44">
        <v>230000</v>
      </c>
      <c r="AM80" s="44">
        <v>25000</v>
      </c>
      <c r="AN80" s="44">
        <f>AL80*AJ80</f>
        <v>0</v>
      </c>
      <c r="AO80" s="44">
        <f>AM80*AK80</f>
        <v>0</v>
      </c>
      <c r="AP80" s="44">
        <f t="shared" ref="AP80" si="39">AL80*AJ80+AM80*AK80</f>
        <v>0</v>
      </c>
    </row>
    <row r="81" spans="1:42">
      <c r="A81" s="40"/>
      <c r="B81" s="40"/>
      <c r="C81" s="43"/>
      <c r="D81" s="10" t="s">
        <v>20</v>
      </c>
      <c r="E81" s="11"/>
      <c r="F81" s="11"/>
      <c r="G81" s="11"/>
      <c r="H81" s="11"/>
      <c r="I81" s="11"/>
      <c r="J81" s="11"/>
      <c r="K81" s="11"/>
      <c r="L81" s="11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40"/>
      <c r="AK81" s="40"/>
      <c r="AL81" s="45"/>
      <c r="AM81" s="45"/>
      <c r="AN81" s="45"/>
      <c r="AO81" s="45"/>
      <c r="AP81" s="45"/>
    </row>
    <row r="82" spans="1:42">
      <c r="A82" s="40"/>
      <c r="B82" s="40"/>
      <c r="C82" s="43"/>
      <c r="D82" s="12" t="s">
        <v>21</v>
      </c>
      <c r="E82" s="11"/>
      <c r="F82" s="11"/>
      <c r="G82" s="11"/>
      <c r="H82" s="11"/>
      <c r="I82" s="11"/>
      <c r="J82" s="11"/>
      <c r="K82" s="11"/>
      <c r="L82" s="11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40"/>
      <c r="AK82" s="40"/>
      <c r="AL82" s="46"/>
      <c r="AM82" s="46"/>
      <c r="AN82" s="46"/>
      <c r="AO82" s="46"/>
      <c r="AP82" s="46"/>
    </row>
    <row r="83" spans="1:42">
      <c r="A83" s="39">
        <f t="shared" ref="A83" si="40">A80+1</f>
        <v>27</v>
      </c>
      <c r="B83" s="39"/>
      <c r="C83" s="42" t="s">
        <v>24</v>
      </c>
      <c r="D83" s="10" t="s">
        <v>18</v>
      </c>
      <c r="E83" s="11"/>
      <c r="F83" s="11"/>
      <c r="G83" s="11"/>
      <c r="H83" s="11"/>
      <c r="I83" s="11"/>
      <c r="J83" s="11"/>
      <c r="K83" s="11"/>
      <c r="L83" s="11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39">
        <f>COUNTIFS(E83:AI84,"✓")/2</f>
        <v>0</v>
      </c>
      <c r="AK83" s="39">
        <f t="shared" ref="AK83" si="41">SUM(O85:AG85)</f>
        <v>0</v>
      </c>
      <c r="AL83" s="44">
        <v>230000</v>
      </c>
      <c r="AM83" s="44">
        <v>25000</v>
      </c>
      <c r="AN83" s="44">
        <f>AL83*AJ83</f>
        <v>0</v>
      </c>
      <c r="AO83" s="44">
        <f>AM83*AK83</f>
        <v>0</v>
      </c>
      <c r="AP83" s="44">
        <f t="shared" ref="AP83" si="42">AL83*AJ83+AM83*AK83</f>
        <v>0</v>
      </c>
    </row>
    <row r="84" spans="1:42">
      <c r="A84" s="40"/>
      <c r="B84" s="40"/>
      <c r="C84" s="43"/>
      <c r="D84" s="10" t="s">
        <v>20</v>
      </c>
      <c r="E84" s="11"/>
      <c r="F84" s="11"/>
      <c r="G84" s="11"/>
      <c r="H84" s="11"/>
      <c r="I84" s="11"/>
      <c r="J84" s="11"/>
      <c r="K84" s="11"/>
      <c r="L84" s="11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40"/>
      <c r="AK84" s="40"/>
      <c r="AL84" s="45"/>
      <c r="AM84" s="45"/>
      <c r="AN84" s="45"/>
      <c r="AO84" s="45"/>
      <c r="AP84" s="45"/>
    </row>
    <row r="85" spans="1:42">
      <c r="A85" s="40"/>
      <c r="B85" s="40"/>
      <c r="C85" s="43"/>
      <c r="D85" s="12" t="s">
        <v>21</v>
      </c>
      <c r="E85" s="11"/>
      <c r="F85" s="11"/>
      <c r="G85" s="11"/>
      <c r="H85" s="11"/>
      <c r="I85" s="11"/>
      <c r="J85" s="11"/>
      <c r="K85" s="11"/>
      <c r="L85" s="11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40"/>
      <c r="AK85" s="40"/>
      <c r="AL85" s="46"/>
      <c r="AM85" s="46"/>
      <c r="AN85" s="46"/>
      <c r="AO85" s="46"/>
      <c r="AP85" s="46"/>
    </row>
    <row r="86" spans="1:42">
      <c r="A86" s="39">
        <f t="shared" ref="A86" si="43">A83+1</f>
        <v>28</v>
      </c>
      <c r="B86" s="39"/>
      <c r="C86" s="42" t="s">
        <v>24</v>
      </c>
      <c r="D86" s="10" t="s">
        <v>18</v>
      </c>
      <c r="E86" s="11"/>
      <c r="F86" s="11"/>
      <c r="G86" s="11"/>
      <c r="H86" s="11"/>
      <c r="I86" s="11"/>
      <c r="J86" s="11"/>
      <c r="K86" s="11"/>
      <c r="L86" s="11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39">
        <f t="shared" ref="AJ86" si="44">COUNTIFS(E86:AI87,"✓")/2</f>
        <v>0</v>
      </c>
      <c r="AK86" s="39">
        <f t="shared" ref="AK86" si="45">SUM(O88:AG88)</f>
        <v>0</v>
      </c>
      <c r="AL86" s="44">
        <v>230000</v>
      </c>
      <c r="AM86" s="44">
        <v>25000</v>
      </c>
      <c r="AN86" s="44">
        <f t="shared" ref="AN86:AO86" si="46">AL86*AJ86</f>
        <v>0</v>
      </c>
      <c r="AO86" s="44">
        <f t="shared" si="46"/>
        <v>0</v>
      </c>
      <c r="AP86" s="44">
        <f t="shared" ref="AP86" si="47">AL86*AJ86+AM86*AK86</f>
        <v>0</v>
      </c>
    </row>
    <row r="87" spans="1:42">
      <c r="A87" s="40"/>
      <c r="B87" s="40"/>
      <c r="C87" s="43"/>
      <c r="D87" s="10" t="s">
        <v>20</v>
      </c>
      <c r="E87" s="11"/>
      <c r="F87" s="11"/>
      <c r="G87" s="11"/>
      <c r="H87" s="11"/>
      <c r="I87" s="11"/>
      <c r="J87" s="11"/>
      <c r="K87" s="11"/>
      <c r="L87" s="11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40"/>
      <c r="AK87" s="40"/>
      <c r="AL87" s="45"/>
      <c r="AM87" s="45"/>
      <c r="AN87" s="45"/>
      <c r="AO87" s="45"/>
      <c r="AP87" s="45"/>
    </row>
    <row r="88" spans="1:42">
      <c r="A88" s="40"/>
      <c r="B88" s="40"/>
      <c r="C88" s="43"/>
      <c r="D88" s="12" t="s">
        <v>21</v>
      </c>
      <c r="E88" s="11"/>
      <c r="F88" s="11"/>
      <c r="G88" s="11"/>
      <c r="H88" s="11"/>
      <c r="I88" s="11"/>
      <c r="J88" s="11"/>
      <c r="K88" s="11"/>
      <c r="L88" s="11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40"/>
      <c r="AK88" s="40"/>
      <c r="AL88" s="46"/>
      <c r="AM88" s="46"/>
      <c r="AN88" s="46"/>
      <c r="AO88" s="46"/>
      <c r="AP88" s="46"/>
    </row>
    <row r="89" spans="1:42">
      <c r="A89" s="39">
        <f t="shared" ref="A89" si="48">A86+1</f>
        <v>29</v>
      </c>
      <c r="B89" s="39"/>
      <c r="C89" s="68"/>
      <c r="D89" s="10" t="s">
        <v>18</v>
      </c>
      <c r="E89" s="11"/>
      <c r="F89" s="11"/>
      <c r="G89" s="11"/>
      <c r="H89" s="11"/>
      <c r="I89" s="11"/>
      <c r="J89" s="11"/>
      <c r="K89" s="11"/>
      <c r="L89" s="11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39">
        <f t="shared" ref="AJ89" si="49">COUNTIFS(E89:AI90,"✓")/2</f>
        <v>0</v>
      </c>
      <c r="AK89" s="39">
        <f t="shared" ref="AK89" si="50">SUM(O91:AG91)</f>
        <v>0</v>
      </c>
      <c r="AL89" s="44">
        <v>230000</v>
      </c>
      <c r="AM89" s="44">
        <v>25000</v>
      </c>
      <c r="AN89" s="44">
        <f t="shared" ref="AN89:AO89" si="51">AL89*AJ89</f>
        <v>0</v>
      </c>
      <c r="AO89" s="44">
        <f t="shared" si="51"/>
        <v>0</v>
      </c>
      <c r="AP89" s="44">
        <f t="shared" ref="AP89" si="52">AL89*AJ89+AM89*AK89</f>
        <v>0</v>
      </c>
    </row>
    <row r="90" spans="1:42">
      <c r="A90" s="40"/>
      <c r="B90" s="40"/>
      <c r="C90" s="68"/>
      <c r="D90" s="10" t="s">
        <v>20</v>
      </c>
      <c r="E90" s="11"/>
      <c r="F90" s="11"/>
      <c r="G90" s="11"/>
      <c r="H90" s="11"/>
      <c r="I90" s="11"/>
      <c r="J90" s="11"/>
      <c r="K90" s="11"/>
      <c r="L90" s="11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40"/>
      <c r="AK90" s="40"/>
      <c r="AL90" s="45"/>
      <c r="AM90" s="45"/>
      <c r="AN90" s="45"/>
      <c r="AO90" s="45"/>
      <c r="AP90" s="45"/>
    </row>
    <row r="91" spans="1:42">
      <c r="A91" s="40"/>
      <c r="B91" s="40"/>
      <c r="C91" s="68"/>
      <c r="D91" s="12" t="s">
        <v>21</v>
      </c>
      <c r="E91" s="11"/>
      <c r="F91" s="11"/>
      <c r="G91" s="11"/>
      <c r="H91" s="11"/>
      <c r="I91" s="11"/>
      <c r="J91" s="11"/>
      <c r="K91" s="11"/>
      <c r="L91" s="11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40"/>
      <c r="AK91" s="40"/>
      <c r="AL91" s="46"/>
      <c r="AM91" s="46"/>
      <c r="AN91" s="46"/>
      <c r="AO91" s="46"/>
      <c r="AP91" s="46"/>
    </row>
    <row r="92" spans="1:42">
      <c r="A92" s="39">
        <f t="shared" ref="A92" si="53">A89+1</f>
        <v>30</v>
      </c>
      <c r="B92" s="39"/>
      <c r="C92" s="68"/>
      <c r="D92" s="10" t="s">
        <v>18</v>
      </c>
      <c r="E92" s="11"/>
      <c r="F92" s="11"/>
      <c r="G92" s="11"/>
      <c r="H92" s="11"/>
      <c r="I92" s="11"/>
      <c r="J92" s="11"/>
      <c r="K92" s="11"/>
      <c r="L92" s="11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39">
        <f t="shared" ref="AJ92" si="54">COUNTIFS(E92:AI93,"✓")/2</f>
        <v>0</v>
      </c>
      <c r="AK92" s="39">
        <f t="shared" ref="AK92" si="55">SUM(O94:AG94)</f>
        <v>0</v>
      </c>
      <c r="AL92" s="44">
        <v>230000</v>
      </c>
      <c r="AM92" s="44">
        <v>25000</v>
      </c>
      <c r="AN92" s="44">
        <f t="shared" ref="AN92:AO92" si="56">AL92*AJ92</f>
        <v>0</v>
      </c>
      <c r="AO92" s="44">
        <f t="shared" si="56"/>
        <v>0</v>
      </c>
      <c r="AP92" s="44">
        <f t="shared" ref="AP92" si="57">AL92*AJ92+AM92*AK92</f>
        <v>0</v>
      </c>
    </row>
    <row r="93" spans="1:42">
      <c r="A93" s="40"/>
      <c r="B93" s="40"/>
      <c r="C93" s="68"/>
      <c r="D93" s="10" t="s">
        <v>20</v>
      </c>
      <c r="E93" s="11"/>
      <c r="F93" s="11"/>
      <c r="G93" s="11"/>
      <c r="H93" s="11"/>
      <c r="I93" s="11"/>
      <c r="J93" s="11"/>
      <c r="K93" s="11"/>
      <c r="L93" s="11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40"/>
      <c r="AK93" s="40"/>
      <c r="AL93" s="45"/>
      <c r="AM93" s="45"/>
      <c r="AN93" s="45"/>
      <c r="AO93" s="45"/>
      <c r="AP93" s="45"/>
    </row>
    <row r="94" spans="1:42">
      <c r="A94" s="40"/>
      <c r="B94" s="40"/>
      <c r="C94" s="68"/>
      <c r="D94" s="12" t="s">
        <v>21</v>
      </c>
      <c r="E94" s="11"/>
      <c r="F94" s="11"/>
      <c r="G94" s="11"/>
      <c r="H94" s="11"/>
      <c r="I94" s="11"/>
      <c r="J94" s="11"/>
      <c r="K94" s="11"/>
      <c r="L94" s="11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40"/>
      <c r="AK94" s="40"/>
      <c r="AL94" s="46"/>
      <c r="AM94" s="46"/>
      <c r="AN94" s="46"/>
      <c r="AO94" s="46"/>
      <c r="AP94" s="46"/>
    </row>
    <row r="95" spans="1:42">
      <c r="A95" s="39">
        <f t="shared" ref="A95" si="58">A92+1</f>
        <v>31</v>
      </c>
      <c r="B95" s="39"/>
      <c r="C95" s="68"/>
      <c r="D95" s="10" t="s">
        <v>18</v>
      </c>
      <c r="E95" s="11"/>
      <c r="F95" s="11"/>
      <c r="G95" s="11"/>
      <c r="H95" s="11"/>
      <c r="I95" s="11"/>
      <c r="J95" s="11"/>
      <c r="K95" s="11"/>
      <c r="L95" s="11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39">
        <f t="shared" ref="AJ95" si="59">COUNTIFS(E95:AI96,"✓")/2</f>
        <v>0</v>
      </c>
      <c r="AK95" s="39">
        <f t="shared" ref="AK95" si="60">SUM(O97:AG97)</f>
        <v>0</v>
      </c>
      <c r="AL95" s="44">
        <v>230000</v>
      </c>
      <c r="AM95" s="44">
        <v>25000</v>
      </c>
      <c r="AN95" s="44">
        <f t="shared" ref="AN95:AO95" si="61">AL95*AJ95</f>
        <v>0</v>
      </c>
      <c r="AO95" s="44">
        <f t="shared" si="61"/>
        <v>0</v>
      </c>
      <c r="AP95" s="44">
        <f t="shared" ref="AP95" si="62">AL95*AJ95+AM95*AK95</f>
        <v>0</v>
      </c>
    </row>
    <row r="96" spans="1:42">
      <c r="A96" s="40"/>
      <c r="B96" s="40"/>
      <c r="C96" s="68"/>
      <c r="D96" s="10" t="s">
        <v>20</v>
      </c>
      <c r="E96" s="11"/>
      <c r="F96" s="11"/>
      <c r="G96" s="11"/>
      <c r="H96" s="11"/>
      <c r="I96" s="11"/>
      <c r="J96" s="11"/>
      <c r="K96" s="11"/>
      <c r="L96" s="11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40"/>
      <c r="AK96" s="40"/>
      <c r="AL96" s="45"/>
      <c r="AM96" s="45"/>
      <c r="AN96" s="45"/>
      <c r="AO96" s="45"/>
      <c r="AP96" s="45"/>
    </row>
    <row r="97" spans="1:42">
      <c r="A97" s="40"/>
      <c r="B97" s="40"/>
      <c r="C97" s="75"/>
      <c r="D97" s="12" t="s">
        <v>21</v>
      </c>
      <c r="E97" s="11"/>
      <c r="F97" s="11"/>
      <c r="G97" s="11"/>
      <c r="H97" s="11"/>
      <c r="I97" s="11"/>
      <c r="J97" s="11"/>
      <c r="K97" s="11"/>
      <c r="L97" s="11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40"/>
      <c r="AK97" s="40"/>
      <c r="AL97" s="46"/>
      <c r="AM97" s="46"/>
      <c r="AN97" s="46"/>
      <c r="AO97" s="46"/>
      <c r="AP97" s="46"/>
    </row>
    <row r="98" spans="1:42">
      <c r="A98" s="39">
        <f t="shared" ref="A98:A161" si="63">A95+1</f>
        <v>32</v>
      </c>
      <c r="B98" s="39"/>
      <c r="C98" s="68"/>
      <c r="D98" s="10" t="s">
        <v>18</v>
      </c>
      <c r="E98" s="11"/>
      <c r="F98" s="11"/>
      <c r="G98" s="11"/>
      <c r="H98" s="11"/>
      <c r="I98" s="11"/>
      <c r="J98" s="11"/>
      <c r="K98" s="11"/>
      <c r="L98" s="11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39">
        <f t="shared" ref="AJ98" si="64">COUNTIFS(E98:AI99,"✓")/2</f>
        <v>0</v>
      </c>
      <c r="AK98" s="39">
        <f t="shared" ref="AK98" si="65">SUM(O100:AG100)</f>
        <v>0</v>
      </c>
      <c r="AL98" s="44">
        <v>230000</v>
      </c>
      <c r="AM98" s="44">
        <v>25000</v>
      </c>
      <c r="AN98" s="44">
        <f t="shared" ref="AN98:AO98" si="66">AL98*AJ98</f>
        <v>0</v>
      </c>
      <c r="AO98" s="44">
        <f t="shared" si="66"/>
        <v>0</v>
      </c>
      <c r="AP98" s="44">
        <f t="shared" ref="AP98" si="67">AL98*AJ98+AM98*AK98</f>
        <v>0</v>
      </c>
    </row>
    <row r="99" spans="1:42">
      <c r="A99" s="40"/>
      <c r="B99" s="40"/>
      <c r="C99" s="68"/>
      <c r="D99" s="10" t="s">
        <v>20</v>
      </c>
      <c r="E99" s="11"/>
      <c r="F99" s="11"/>
      <c r="G99" s="11"/>
      <c r="H99" s="11"/>
      <c r="I99" s="11"/>
      <c r="J99" s="11"/>
      <c r="K99" s="11"/>
      <c r="L99" s="11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40"/>
      <c r="AK99" s="40"/>
      <c r="AL99" s="45"/>
      <c r="AM99" s="45"/>
      <c r="AN99" s="45"/>
      <c r="AO99" s="45"/>
      <c r="AP99" s="45"/>
    </row>
    <row r="100" spans="1:42">
      <c r="A100" s="40"/>
      <c r="B100" s="40"/>
      <c r="C100" s="68"/>
      <c r="D100" s="12" t="s">
        <v>21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40"/>
      <c r="AK100" s="40"/>
      <c r="AL100" s="46"/>
      <c r="AM100" s="46"/>
      <c r="AN100" s="46"/>
      <c r="AO100" s="46"/>
      <c r="AP100" s="46"/>
    </row>
    <row r="101" spans="1:42">
      <c r="A101" s="39">
        <f t="shared" ref="A101:A164" si="68">A98+1</f>
        <v>33</v>
      </c>
      <c r="B101" s="39"/>
      <c r="C101" s="68"/>
      <c r="D101" s="10" t="s">
        <v>18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9">
        <f t="shared" ref="AJ101" si="69">COUNTIFS(E101:AI102,"✓")/2</f>
        <v>0</v>
      </c>
      <c r="AK101" s="39">
        <f t="shared" ref="AK101" si="70">SUM(O103:AG103)</f>
        <v>0</v>
      </c>
      <c r="AL101" s="44">
        <v>230000</v>
      </c>
      <c r="AM101" s="44">
        <v>25000</v>
      </c>
      <c r="AN101" s="44">
        <f t="shared" ref="AN101:AO101" si="71">AL101*AJ101</f>
        <v>0</v>
      </c>
      <c r="AO101" s="44">
        <f t="shared" si="71"/>
        <v>0</v>
      </c>
      <c r="AP101" s="44">
        <f t="shared" ref="AP101" si="72">AL101*AJ101+AM101*AK101</f>
        <v>0</v>
      </c>
    </row>
    <row r="102" spans="1:42">
      <c r="A102" s="40"/>
      <c r="B102" s="40"/>
      <c r="C102" s="68"/>
      <c r="D102" s="10" t="s">
        <v>20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40"/>
      <c r="AK102" s="40"/>
      <c r="AL102" s="45"/>
      <c r="AM102" s="45"/>
      <c r="AN102" s="45"/>
      <c r="AO102" s="45"/>
      <c r="AP102" s="45"/>
    </row>
    <row r="103" spans="1:42">
      <c r="A103" s="40"/>
      <c r="B103" s="40"/>
      <c r="C103" s="68"/>
      <c r="D103" s="12" t="s">
        <v>21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40"/>
      <c r="AK103" s="40"/>
      <c r="AL103" s="46"/>
      <c r="AM103" s="46"/>
      <c r="AN103" s="46"/>
      <c r="AO103" s="46"/>
      <c r="AP103" s="46"/>
    </row>
    <row r="104" spans="1:42">
      <c r="A104" s="39">
        <f t="shared" si="63"/>
        <v>34</v>
      </c>
      <c r="B104" s="39"/>
      <c r="C104" s="68"/>
      <c r="D104" s="10" t="s">
        <v>18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39">
        <f t="shared" ref="AJ104" si="73">COUNTIFS(E104:AI105,"✓")/2</f>
        <v>0</v>
      </c>
      <c r="AK104" s="39">
        <f t="shared" ref="AK104" si="74">SUM(O106:AG106)</f>
        <v>0</v>
      </c>
      <c r="AL104" s="44">
        <v>230000</v>
      </c>
      <c r="AM104" s="44">
        <v>25000</v>
      </c>
      <c r="AN104" s="44">
        <f t="shared" ref="AN104:AO104" si="75">AL104*AJ104</f>
        <v>0</v>
      </c>
      <c r="AO104" s="44">
        <f t="shared" si="75"/>
        <v>0</v>
      </c>
      <c r="AP104" s="44">
        <f t="shared" ref="AP104" si="76">AL104*AJ104+AM104*AK104</f>
        <v>0</v>
      </c>
    </row>
    <row r="105" spans="1:42">
      <c r="A105" s="40"/>
      <c r="B105" s="40"/>
      <c r="C105" s="68"/>
      <c r="D105" s="10" t="s">
        <v>20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40"/>
      <c r="AK105" s="40"/>
      <c r="AL105" s="45"/>
      <c r="AM105" s="45"/>
      <c r="AN105" s="45"/>
      <c r="AO105" s="45"/>
      <c r="AP105" s="45"/>
    </row>
    <row r="106" spans="1:42">
      <c r="A106" s="40"/>
      <c r="B106" s="40"/>
      <c r="C106" s="68"/>
      <c r="D106" s="12" t="s">
        <v>21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40"/>
      <c r="AK106" s="40"/>
      <c r="AL106" s="46"/>
      <c r="AM106" s="46"/>
      <c r="AN106" s="46"/>
      <c r="AO106" s="46"/>
      <c r="AP106" s="46"/>
    </row>
    <row r="107" spans="1:42">
      <c r="A107" s="39">
        <f t="shared" si="68"/>
        <v>35</v>
      </c>
      <c r="B107" s="39"/>
      <c r="C107" s="68"/>
      <c r="D107" s="10" t="s">
        <v>18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39">
        <f t="shared" ref="AJ107" si="77">COUNTIFS(E107:AI108,"✓")/2</f>
        <v>0</v>
      </c>
      <c r="AK107" s="39">
        <f t="shared" ref="AK107" si="78">SUM(O109:AG109)</f>
        <v>0</v>
      </c>
      <c r="AL107" s="44">
        <v>230000</v>
      </c>
      <c r="AM107" s="44">
        <v>25000</v>
      </c>
      <c r="AN107" s="44">
        <f t="shared" ref="AN107:AO107" si="79">AL107*AJ107</f>
        <v>0</v>
      </c>
      <c r="AO107" s="44">
        <f t="shared" si="79"/>
        <v>0</v>
      </c>
      <c r="AP107" s="44">
        <f t="shared" ref="AP107" si="80">AL107*AJ107+AM107*AK107</f>
        <v>0</v>
      </c>
    </row>
    <row r="108" spans="1:42">
      <c r="A108" s="40"/>
      <c r="B108" s="40"/>
      <c r="C108" s="68"/>
      <c r="D108" s="10" t="s">
        <v>20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40"/>
      <c r="AK108" s="40"/>
      <c r="AL108" s="45"/>
      <c r="AM108" s="45"/>
      <c r="AN108" s="45"/>
      <c r="AO108" s="45"/>
      <c r="AP108" s="45"/>
    </row>
    <row r="109" spans="1:42">
      <c r="A109" s="40"/>
      <c r="B109" s="40"/>
      <c r="C109" s="68"/>
      <c r="D109" s="12" t="s">
        <v>21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40"/>
      <c r="AK109" s="40"/>
      <c r="AL109" s="46"/>
      <c r="AM109" s="46"/>
      <c r="AN109" s="46"/>
      <c r="AO109" s="46"/>
      <c r="AP109" s="46"/>
    </row>
    <row r="110" spans="1:42">
      <c r="A110" s="39">
        <f t="shared" si="63"/>
        <v>36</v>
      </c>
      <c r="B110" s="39"/>
      <c r="C110" s="68"/>
      <c r="D110" s="10" t="s">
        <v>18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39">
        <f t="shared" ref="AJ110" si="81">COUNTIFS(E110:AI111,"✓")/2</f>
        <v>0</v>
      </c>
      <c r="AK110" s="39">
        <f t="shared" ref="AK110" si="82">SUM(O112:AG112)</f>
        <v>0</v>
      </c>
      <c r="AL110" s="44">
        <v>230000</v>
      </c>
      <c r="AM110" s="44">
        <v>25000</v>
      </c>
      <c r="AN110" s="44">
        <f t="shared" ref="AN110:AO110" si="83">AL110*AJ110</f>
        <v>0</v>
      </c>
      <c r="AO110" s="44">
        <f t="shared" si="83"/>
        <v>0</v>
      </c>
      <c r="AP110" s="44">
        <f t="shared" ref="AP110" si="84">AL110*AJ110+AM110*AK110</f>
        <v>0</v>
      </c>
    </row>
    <row r="111" spans="1:42">
      <c r="A111" s="40"/>
      <c r="B111" s="40"/>
      <c r="C111" s="68"/>
      <c r="D111" s="10" t="s">
        <v>20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40"/>
      <c r="AK111" s="40"/>
      <c r="AL111" s="45"/>
      <c r="AM111" s="45"/>
      <c r="AN111" s="45"/>
      <c r="AO111" s="45"/>
      <c r="AP111" s="45"/>
    </row>
    <row r="112" spans="1:42">
      <c r="A112" s="40"/>
      <c r="B112" s="40"/>
      <c r="C112" s="68"/>
      <c r="D112" s="12" t="s">
        <v>21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40"/>
      <c r="AK112" s="40"/>
      <c r="AL112" s="46"/>
      <c r="AM112" s="46"/>
      <c r="AN112" s="46"/>
      <c r="AO112" s="46"/>
      <c r="AP112" s="46"/>
    </row>
    <row r="113" spans="1:42">
      <c r="A113" s="39">
        <f t="shared" si="68"/>
        <v>37</v>
      </c>
      <c r="B113" s="39"/>
      <c r="C113" s="68"/>
      <c r="D113" s="10" t="s">
        <v>18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39">
        <f t="shared" ref="AJ113" si="85">COUNTIFS(E113:AI114,"✓")/2</f>
        <v>0</v>
      </c>
      <c r="AK113" s="39">
        <f t="shared" ref="AK113" si="86">SUM(O115:AG115)</f>
        <v>0</v>
      </c>
      <c r="AL113" s="44">
        <v>230000</v>
      </c>
      <c r="AM113" s="44">
        <v>25000</v>
      </c>
      <c r="AN113" s="44">
        <f t="shared" ref="AN113:AO113" si="87">AL113*AJ113</f>
        <v>0</v>
      </c>
      <c r="AO113" s="44">
        <f t="shared" si="87"/>
        <v>0</v>
      </c>
      <c r="AP113" s="44">
        <f t="shared" ref="AP113" si="88">AL113*AJ113+AM113*AK113</f>
        <v>0</v>
      </c>
    </row>
    <row r="114" spans="1:42">
      <c r="A114" s="40"/>
      <c r="B114" s="40"/>
      <c r="C114" s="68"/>
      <c r="D114" s="10" t="s">
        <v>20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40"/>
      <c r="AK114" s="40"/>
      <c r="AL114" s="45"/>
      <c r="AM114" s="45"/>
      <c r="AN114" s="45"/>
      <c r="AO114" s="45"/>
      <c r="AP114" s="45"/>
    </row>
    <row r="115" spans="1:42">
      <c r="A115" s="40"/>
      <c r="B115" s="40"/>
      <c r="C115" s="68"/>
      <c r="D115" s="12" t="s">
        <v>21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40"/>
      <c r="AK115" s="40"/>
      <c r="AL115" s="46"/>
      <c r="AM115" s="46"/>
      <c r="AN115" s="46"/>
      <c r="AO115" s="46"/>
      <c r="AP115" s="46"/>
    </row>
    <row r="116" spans="1:42">
      <c r="A116" s="39">
        <f t="shared" si="63"/>
        <v>38</v>
      </c>
      <c r="B116" s="39"/>
      <c r="C116" s="68"/>
      <c r="D116" s="10" t="s">
        <v>18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39">
        <f t="shared" ref="AJ116" si="89">COUNTIFS(E116:AI117,"✓")/2</f>
        <v>0</v>
      </c>
      <c r="AK116" s="39">
        <f t="shared" ref="AK116" si="90">SUM(O118:AG118)</f>
        <v>0</v>
      </c>
      <c r="AL116" s="44">
        <v>230000</v>
      </c>
      <c r="AM116" s="44">
        <v>25000</v>
      </c>
      <c r="AN116" s="44">
        <f t="shared" ref="AN116:AO116" si="91">AL116*AJ116</f>
        <v>0</v>
      </c>
      <c r="AO116" s="44">
        <f t="shared" si="91"/>
        <v>0</v>
      </c>
      <c r="AP116" s="44">
        <f t="shared" ref="AP116" si="92">AL116*AJ116+AM116*AK116</f>
        <v>0</v>
      </c>
    </row>
    <row r="117" spans="1:42">
      <c r="A117" s="40"/>
      <c r="B117" s="40"/>
      <c r="C117" s="68"/>
      <c r="D117" s="10" t="s">
        <v>20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40"/>
      <c r="AK117" s="40"/>
      <c r="AL117" s="45"/>
      <c r="AM117" s="45"/>
      <c r="AN117" s="45"/>
      <c r="AO117" s="45"/>
      <c r="AP117" s="45"/>
    </row>
    <row r="118" spans="1:42">
      <c r="A118" s="40"/>
      <c r="B118" s="40"/>
      <c r="C118" s="68"/>
      <c r="D118" s="12" t="s">
        <v>21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40"/>
      <c r="AK118" s="40"/>
      <c r="AL118" s="46"/>
      <c r="AM118" s="46"/>
      <c r="AN118" s="46"/>
      <c r="AO118" s="46"/>
      <c r="AP118" s="46"/>
    </row>
    <row r="119" spans="1:42">
      <c r="A119" s="39">
        <f t="shared" si="68"/>
        <v>39</v>
      </c>
      <c r="B119" s="39"/>
      <c r="C119" s="68"/>
      <c r="D119" s="10" t="s">
        <v>18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39">
        <f t="shared" ref="AJ119" si="93">COUNTIFS(E119:AI120,"✓")/2</f>
        <v>0</v>
      </c>
      <c r="AK119" s="39">
        <f t="shared" ref="AK119" si="94">SUM(O121:AG121)</f>
        <v>0</v>
      </c>
      <c r="AL119" s="44">
        <v>230000</v>
      </c>
      <c r="AM119" s="44">
        <v>25000</v>
      </c>
      <c r="AN119" s="44">
        <f t="shared" ref="AN119:AO119" si="95">AL119*AJ119</f>
        <v>0</v>
      </c>
      <c r="AO119" s="44">
        <f t="shared" si="95"/>
        <v>0</v>
      </c>
      <c r="AP119" s="44">
        <f t="shared" ref="AP119" si="96">AL119*AJ119+AM119*AK119</f>
        <v>0</v>
      </c>
    </row>
    <row r="120" spans="1:42">
      <c r="A120" s="40"/>
      <c r="B120" s="40"/>
      <c r="C120" s="68"/>
      <c r="D120" s="10" t="s">
        <v>20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40"/>
      <c r="AK120" s="40"/>
      <c r="AL120" s="45"/>
      <c r="AM120" s="45"/>
      <c r="AN120" s="45"/>
      <c r="AO120" s="45"/>
      <c r="AP120" s="45"/>
    </row>
    <row r="121" spans="1:42">
      <c r="A121" s="40"/>
      <c r="B121" s="40"/>
      <c r="C121" s="68"/>
      <c r="D121" s="12" t="s">
        <v>21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40"/>
      <c r="AK121" s="40"/>
      <c r="AL121" s="46"/>
      <c r="AM121" s="46"/>
      <c r="AN121" s="46"/>
      <c r="AO121" s="46"/>
      <c r="AP121" s="46"/>
    </row>
    <row r="122" spans="1:42">
      <c r="A122" s="39">
        <f t="shared" si="63"/>
        <v>40</v>
      </c>
      <c r="B122" s="39"/>
      <c r="C122" s="68"/>
      <c r="D122" s="10" t="s">
        <v>18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39">
        <f t="shared" ref="AJ122" si="97">COUNTIFS(E122:AI123,"✓")/2</f>
        <v>0</v>
      </c>
      <c r="AK122" s="39">
        <f t="shared" ref="AK122" si="98">SUM(O124:AG124)</f>
        <v>0</v>
      </c>
      <c r="AL122" s="44">
        <v>230000</v>
      </c>
      <c r="AM122" s="44">
        <v>25000</v>
      </c>
      <c r="AN122" s="44">
        <f t="shared" ref="AN122:AO122" si="99">AL122*AJ122</f>
        <v>0</v>
      </c>
      <c r="AO122" s="44">
        <f t="shared" si="99"/>
        <v>0</v>
      </c>
      <c r="AP122" s="44">
        <f t="shared" ref="AP122" si="100">AL122*AJ122+AM122*AK122</f>
        <v>0</v>
      </c>
    </row>
    <row r="123" spans="1:42">
      <c r="A123" s="40"/>
      <c r="B123" s="40"/>
      <c r="C123" s="68"/>
      <c r="D123" s="10" t="s">
        <v>20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40"/>
      <c r="AK123" s="40"/>
      <c r="AL123" s="45"/>
      <c r="AM123" s="45"/>
      <c r="AN123" s="45"/>
      <c r="AO123" s="45"/>
      <c r="AP123" s="45"/>
    </row>
    <row r="124" spans="1:42">
      <c r="A124" s="40"/>
      <c r="B124" s="40"/>
      <c r="C124" s="68"/>
      <c r="D124" s="12" t="s">
        <v>21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40"/>
      <c r="AK124" s="40"/>
      <c r="AL124" s="46"/>
      <c r="AM124" s="46"/>
      <c r="AN124" s="46"/>
      <c r="AO124" s="46"/>
      <c r="AP124" s="46"/>
    </row>
    <row r="125" spans="1:42">
      <c r="A125" s="39">
        <f t="shared" si="68"/>
        <v>41</v>
      </c>
      <c r="B125" s="39"/>
      <c r="C125" s="68"/>
      <c r="D125" s="10" t="s">
        <v>18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39">
        <f t="shared" ref="AJ125" si="101">COUNTIFS(E125:AI126,"✓")/2</f>
        <v>0</v>
      </c>
      <c r="AK125" s="39">
        <f t="shared" ref="AK125" si="102">SUM(O127:AG127)</f>
        <v>0</v>
      </c>
      <c r="AL125" s="44">
        <v>230000</v>
      </c>
      <c r="AM125" s="44">
        <v>25000</v>
      </c>
      <c r="AN125" s="44">
        <f t="shared" ref="AN125:AO125" si="103">AL125*AJ125</f>
        <v>0</v>
      </c>
      <c r="AO125" s="44">
        <f t="shared" si="103"/>
        <v>0</v>
      </c>
      <c r="AP125" s="44">
        <f t="shared" ref="AP125" si="104">AL125*AJ125+AM125*AK125</f>
        <v>0</v>
      </c>
    </row>
    <row r="126" spans="1:42">
      <c r="A126" s="40"/>
      <c r="B126" s="40"/>
      <c r="C126" s="68"/>
      <c r="D126" s="10" t="s">
        <v>20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40"/>
      <c r="AK126" s="40"/>
      <c r="AL126" s="45"/>
      <c r="AM126" s="45"/>
      <c r="AN126" s="45"/>
      <c r="AO126" s="45"/>
      <c r="AP126" s="45"/>
    </row>
    <row r="127" spans="1:42">
      <c r="A127" s="40"/>
      <c r="B127" s="40"/>
      <c r="C127" s="68"/>
      <c r="D127" s="12" t="s">
        <v>21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40"/>
      <c r="AK127" s="40"/>
      <c r="AL127" s="46"/>
      <c r="AM127" s="46"/>
      <c r="AN127" s="46"/>
      <c r="AO127" s="46"/>
      <c r="AP127" s="46"/>
    </row>
    <row r="128" spans="1:42">
      <c r="A128" s="39">
        <f t="shared" si="63"/>
        <v>42</v>
      </c>
      <c r="B128" s="39"/>
      <c r="C128" s="68"/>
      <c r="D128" s="10" t="s">
        <v>18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39">
        <f t="shared" ref="AJ128" si="105">COUNTIFS(E128:AI129,"✓")/2</f>
        <v>0</v>
      </c>
      <c r="AK128" s="39">
        <f t="shared" ref="AK128" si="106">SUM(O130:AG130)</f>
        <v>0</v>
      </c>
      <c r="AL128" s="44">
        <v>230000</v>
      </c>
      <c r="AM128" s="44">
        <v>25000</v>
      </c>
      <c r="AN128" s="44">
        <f t="shared" ref="AN128:AO128" si="107">AL128*AJ128</f>
        <v>0</v>
      </c>
      <c r="AO128" s="44">
        <f t="shared" si="107"/>
        <v>0</v>
      </c>
      <c r="AP128" s="44">
        <f t="shared" ref="AP128" si="108">AL128*AJ128+AM128*AK128</f>
        <v>0</v>
      </c>
    </row>
    <row r="129" spans="1:42">
      <c r="A129" s="40"/>
      <c r="B129" s="40"/>
      <c r="C129" s="68"/>
      <c r="D129" s="10" t="s">
        <v>20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40"/>
      <c r="AK129" s="40"/>
      <c r="AL129" s="45"/>
      <c r="AM129" s="45"/>
      <c r="AN129" s="45"/>
      <c r="AO129" s="45"/>
      <c r="AP129" s="45"/>
    </row>
    <row r="130" spans="1:42">
      <c r="A130" s="40"/>
      <c r="B130" s="40"/>
      <c r="C130" s="68"/>
      <c r="D130" s="12" t="s">
        <v>21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40"/>
      <c r="AK130" s="40"/>
      <c r="AL130" s="46"/>
      <c r="AM130" s="46"/>
      <c r="AN130" s="46"/>
      <c r="AO130" s="46"/>
      <c r="AP130" s="46"/>
    </row>
    <row r="131" spans="1:42">
      <c r="A131" s="39">
        <f>A125+1</f>
        <v>42</v>
      </c>
      <c r="B131" s="39"/>
      <c r="C131" s="68"/>
      <c r="D131" s="10" t="s">
        <v>18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39">
        <f t="shared" ref="AJ131" si="109">COUNTIFS(E131:AI132,"✓")/2</f>
        <v>0</v>
      </c>
      <c r="AK131" s="39">
        <f t="shared" ref="AK131" si="110">SUM(O133:AG133)</f>
        <v>0</v>
      </c>
      <c r="AL131" s="44">
        <v>230000</v>
      </c>
      <c r="AM131" s="44">
        <v>25000</v>
      </c>
      <c r="AN131" s="44">
        <f t="shared" ref="AN131:AO131" si="111">AL131*AJ131</f>
        <v>0</v>
      </c>
      <c r="AO131" s="44">
        <f t="shared" si="111"/>
        <v>0</v>
      </c>
      <c r="AP131" s="44">
        <f t="shared" ref="AP131" si="112">AL131*AJ131+AM131*AK131</f>
        <v>0</v>
      </c>
    </row>
    <row r="132" spans="1:42">
      <c r="A132" s="40"/>
      <c r="B132" s="40"/>
      <c r="C132" s="68"/>
      <c r="D132" s="10" t="s">
        <v>20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40"/>
      <c r="AK132" s="40"/>
      <c r="AL132" s="45"/>
      <c r="AM132" s="45"/>
      <c r="AN132" s="45"/>
      <c r="AO132" s="45"/>
      <c r="AP132" s="45"/>
    </row>
    <row r="133" spans="1:42">
      <c r="A133" s="40"/>
      <c r="B133" s="40"/>
      <c r="C133" s="68"/>
      <c r="D133" s="12" t="s">
        <v>21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40"/>
      <c r="AK133" s="40"/>
      <c r="AL133" s="46"/>
      <c r="AM133" s="46"/>
      <c r="AN133" s="46"/>
      <c r="AO133" s="46"/>
      <c r="AP133" s="46"/>
    </row>
    <row r="134" spans="1:42">
      <c r="A134" s="39">
        <f t="shared" si="68"/>
        <v>43</v>
      </c>
      <c r="B134" s="39"/>
      <c r="C134" s="68"/>
      <c r="D134" s="10" t="s">
        <v>18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39">
        <f t="shared" ref="AJ134" si="113">COUNTIFS(E134:AI135,"✓")/2</f>
        <v>0</v>
      </c>
      <c r="AK134" s="39">
        <f t="shared" ref="AK134" si="114">SUM(O136:AG136)</f>
        <v>0</v>
      </c>
      <c r="AL134" s="44">
        <v>230000</v>
      </c>
      <c r="AM134" s="44">
        <v>25000</v>
      </c>
      <c r="AN134" s="44">
        <f t="shared" ref="AN134:AO134" si="115">AL134*AJ134</f>
        <v>0</v>
      </c>
      <c r="AO134" s="44">
        <f t="shared" si="115"/>
        <v>0</v>
      </c>
      <c r="AP134" s="44">
        <f t="shared" ref="AP134" si="116">AL134*AJ134+AM134*AK134</f>
        <v>0</v>
      </c>
    </row>
    <row r="135" spans="1:42">
      <c r="A135" s="40"/>
      <c r="B135" s="40"/>
      <c r="C135" s="68"/>
      <c r="D135" s="10" t="s">
        <v>20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40"/>
      <c r="AK135" s="40"/>
      <c r="AL135" s="45"/>
      <c r="AM135" s="45"/>
      <c r="AN135" s="45"/>
      <c r="AO135" s="45"/>
      <c r="AP135" s="45"/>
    </row>
    <row r="136" spans="1:42">
      <c r="A136" s="40"/>
      <c r="B136" s="40"/>
      <c r="C136" s="68"/>
      <c r="D136" s="12" t="s">
        <v>21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40"/>
      <c r="AK136" s="40"/>
      <c r="AL136" s="46"/>
      <c r="AM136" s="46"/>
      <c r="AN136" s="46"/>
      <c r="AO136" s="46"/>
      <c r="AP136" s="46"/>
    </row>
    <row r="137" spans="1:42">
      <c r="A137" s="39">
        <f t="shared" si="63"/>
        <v>44</v>
      </c>
      <c r="B137" s="39"/>
      <c r="C137" s="68"/>
      <c r="D137" s="10" t="s">
        <v>18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39">
        <f t="shared" ref="AJ137" si="117">COUNTIFS(E137:AI138,"✓")/2</f>
        <v>0</v>
      </c>
      <c r="AK137" s="39">
        <f t="shared" ref="AK137" si="118">SUM(O139:AG139)</f>
        <v>0</v>
      </c>
      <c r="AL137" s="44">
        <v>230000</v>
      </c>
      <c r="AM137" s="44">
        <v>25000</v>
      </c>
      <c r="AN137" s="44">
        <f t="shared" ref="AN137:AO137" si="119">AL137*AJ137</f>
        <v>0</v>
      </c>
      <c r="AO137" s="44">
        <f t="shared" si="119"/>
        <v>0</v>
      </c>
      <c r="AP137" s="44">
        <f t="shared" ref="AP137" si="120">AL137*AJ137+AM137*AK137</f>
        <v>0</v>
      </c>
    </row>
    <row r="138" spans="1:42">
      <c r="A138" s="40"/>
      <c r="B138" s="40"/>
      <c r="C138" s="68"/>
      <c r="D138" s="10" t="s">
        <v>20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40"/>
      <c r="AK138" s="40"/>
      <c r="AL138" s="45"/>
      <c r="AM138" s="45"/>
      <c r="AN138" s="45"/>
      <c r="AO138" s="45"/>
      <c r="AP138" s="45"/>
    </row>
    <row r="139" spans="1:42">
      <c r="A139" s="40"/>
      <c r="B139" s="40"/>
      <c r="C139" s="68"/>
      <c r="D139" s="12" t="s">
        <v>21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40"/>
      <c r="AK139" s="40"/>
      <c r="AL139" s="46"/>
      <c r="AM139" s="46"/>
      <c r="AN139" s="46"/>
      <c r="AO139" s="46"/>
      <c r="AP139" s="46"/>
    </row>
    <row r="140" spans="1:42">
      <c r="A140" s="40"/>
      <c r="B140" s="39"/>
      <c r="C140" s="75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39">
        <f t="shared" ref="AJ140" si="121">COUNTIFS(E140:AI141,"✓")/2</f>
        <v>0</v>
      </c>
      <c r="AK140" s="39">
        <f t="shared" ref="AK140" si="122">SUM(O142:AG142)</f>
        <v>0</v>
      </c>
      <c r="AL140" s="44">
        <v>230000</v>
      </c>
      <c r="AM140" s="44">
        <v>25000</v>
      </c>
      <c r="AN140" s="44">
        <f t="shared" ref="AN140:AO140" si="123">AL140*AJ140</f>
        <v>0</v>
      </c>
      <c r="AO140" s="44">
        <f t="shared" si="123"/>
        <v>0</v>
      </c>
      <c r="AP140" s="44">
        <f t="shared" ref="AP140" si="124">AL140*AJ140+AM140*AK140</f>
        <v>0</v>
      </c>
    </row>
    <row r="141" spans="1:42">
      <c r="A141" s="40"/>
      <c r="B141" s="40"/>
      <c r="C141" s="43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40"/>
      <c r="AK141" s="40"/>
      <c r="AL141" s="45"/>
      <c r="AM141" s="45"/>
      <c r="AN141" s="45"/>
      <c r="AO141" s="45"/>
      <c r="AP141" s="45"/>
    </row>
    <row r="142" spans="1:42">
      <c r="A142" s="41"/>
      <c r="B142" s="40"/>
      <c r="C142" s="76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40"/>
      <c r="AK142" s="40"/>
      <c r="AL142" s="46"/>
      <c r="AM142" s="46"/>
      <c r="AN142" s="46"/>
      <c r="AO142" s="46"/>
      <c r="AP142" s="46"/>
    </row>
    <row r="143" spans="1:42">
      <c r="A143" s="39">
        <f>A137+1</f>
        <v>45</v>
      </c>
      <c r="B143" s="39"/>
      <c r="C143" s="68"/>
      <c r="D143" s="10" t="s">
        <v>18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39">
        <f t="shared" ref="AJ143" si="125">COUNTIFS(E143:AI144,"✓")/2</f>
        <v>0</v>
      </c>
      <c r="AK143" s="39">
        <f t="shared" ref="AK143" si="126">SUM(O145:AG145)</f>
        <v>0</v>
      </c>
      <c r="AL143" s="44">
        <v>230000</v>
      </c>
      <c r="AM143" s="44">
        <v>25000</v>
      </c>
      <c r="AN143" s="44">
        <f t="shared" ref="AN143:AO143" si="127">AL143*AJ143</f>
        <v>0</v>
      </c>
      <c r="AO143" s="44">
        <f t="shared" si="127"/>
        <v>0</v>
      </c>
      <c r="AP143" s="44">
        <f t="shared" ref="AP143" si="128">AL143*AJ143+AM143*AK143</f>
        <v>0</v>
      </c>
    </row>
    <row r="144" spans="1:42">
      <c r="A144" s="40"/>
      <c r="B144" s="40"/>
      <c r="C144" s="68"/>
      <c r="D144" s="10" t="s">
        <v>20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40"/>
      <c r="AK144" s="40"/>
      <c r="AL144" s="45"/>
      <c r="AM144" s="45"/>
      <c r="AN144" s="45"/>
      <c r="AO144" s="45"/>
      <c r="AP144" s="45"/>
    </row>
    <row r="145" spans="1:42">
      <c r="A145" s="40"/>
      <c r="B145" s="40"/>
      <c r="C145" s="68"/>
      <c r="D145" s="12" t="s">
        <v>21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40"/>
      <c r="AK145" s="40"/>
      <c r="AL145" s="46"/>
      <c r="AM145" s="46"/>
      <c r="AN145" s="46"/>
      <c r="AO145" s="46"/>
      <c r="AP145" s="46"/>
    </row>
    <row r="146" spans="1:42">
      <c r="A146" s="39">
        <f t="shared" si="68"/>
        <v>46</v>
      </c>
      <c r="B146" s="39"/>
      <c r="C146" s="68"/>
      <c r="D146" s="10" t="s">
        <v>18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39">
        <f t="shared" ref="AJ146" si="129">COUNTIFS(E146:AI147,"✓")/2</f>
        <v>0</v>
      </c>
      <c r="AK146" s="39">
        <f t="shared" ref="AK146" si="130">SUM(O148:AG148)</f>
        <v>0</v>
      </c>
      <c r="AL146" s="44">
        <v>230000</v>
      </c>
      <c r="AM146" s="44">
        <v>25000</v>
      </c>
      <c r="AN146" s="44">
        <f t="shared" ref="AN146:AO146" si="131">AL146*AJ146</f>
        <v>0</v>
      </c>
      <c r="AO146" s="44">
        <f t="shared" si="131"/>
        <v>0</v>
      </c>
      <c r="AP146" s="44">
        <f t="shared" ref="AP146" si="132">AL146*AJ146+AM146*AK146</f>
        <v>0</v>
      </c>
    </row>
    <row r="147" spans="1:42">
      <c r="A147" s="40"/>
      <c r="B147" s="40"/>
      <c r="C147" s="68"/>
      <c r="D147" s="10" t="s">
        <v>20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40"/>
      <c r="AK147" s="40"/>
      <c r="AL147" s="45"/>
      <c r="AM147" s="45"/>
      <c r="AN147" s="45"/>
      <c r="AO147" s="45"/>
      <c r="AP147" s="45"/>
    </row>
    <row r="148" spans="1:42">
      <c r="A148" s="40"/>
      <c r="B148" s="40"/>
      <c r="C148" s="68"/>
      <c r="D148" s="12" t="s">
        <v>21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40"/>
      <c r="AK148" s="40"/>
      <c r="AL148" s="46"/>
      <c r="AM148" s="46"/>
      <c r="AN148" s="46"/>
      <c r="AO148" s="46"/>
      <c r="AP148" s="46"/>
    </row>
    <row r="149" spans="1:42">
      <c r="A149" s="39">
        <f>A143+1</f>
        <v>46</v>
      </c>
      <c r="B149" s="39"/>
      <c r="C149" s="68"/>
      <c r="D149" s="10" t="s">
        <v>18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39">
        <f t="shared" ref="AJ149" si="133">COUNTIFS(E149:AI150,"✓")/2</f>
        <v>0</v>
      </c>
      <c r="AK149" s="39">
        <f t="shared" ref="AK149" si="134">SUM(O151:AG151)</f>
        <v>0</v>
      </c>
      <c r="AL149" s="44">
        <v>230000</v>
      </c>
      <c r="AM149" s="44">
        <v>25000</v>
      </c>
      <c r="AN149" s="44">
        <f t="shared" ref="AN149:AO149" si="135">AL149*AJ149</f>
        <v>0</v>
      </c>
      <c r="AO149" s="44">
        <f t="shared" si="135"/>
        <v>0</v>
      </c>
      <c r="AP149" s="44">
        <f t="shared" ref="AP149" si="136">AL149*AJ149+AM149*AK149</f>
        <v>0</v>
      </c>
    </row>
    <row r="150" spans="1:42">
      <c r="A150" s="40"/>
      <c r="B150" s="40"/>
      <c r="C150" s="68"/>
      <c r="D150" s="10" t="s">
        <v>20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40"/>
      <c r="AK150" s="40"/>
      <c r="AL150" s="45"/>
      <c r="AM150" s="45"/>
      <c r="AN150" s="45"/>
      <c r="AO150" s="45"/>
      <c r="AP150" s="45"/>
    </row>
    <row r="151" spans="1:42">
      <c r="A151" s="40"/>
      <c r="B151" s="40"/>
      <c r="C151" s="68"/>
      <c r="D151" s="12" t="s">
        <v>21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40"/>
      <c r="AK151" s="40"/>
      <c r="AL151" s="46"/>
      <c r="AM151" s="46"/>
      <c r="AN151" s="46"/>
      <c r="AO151" s="46"/>
      <c r="AP151" s="46"/>
    </row>
    <row r="152" spans="1:42">
      <c r="A152" s="39">
        <f t="shared" si="68"/>
        <v>47</v>
      </c>
      <c r="B152" s="39"/>
      <c r="C152" s="68"/>
      <c r="D152" s="10" t="s">
        <v>18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39">
        <f t="shared" ref="AJ152" si="137">COUNTIFS(E152:AI153,"✓")/2</f>
        <v>0</v>
      </c>
      <c r="AK152" s="39">
        <f t="shared" ref="AK152" si="138">SUM(O154:AG154)</f>
        <v>0</v>
      </c>
      <c r="AL152" s="44">
        <v>230000</v>
      </c>
      <c r="AM152" s="44">
        <v>25000</v>
      </c>
      <c r="AN152" s="44">
        <f t="shared" ref="AN152:AO152" si="139">AL152*AJ152</f>
        <v>0</v>
      </c>
      <c r="AO152" s="44">
        <f t="shared" si="139"/>
        <v>0</v>
      </c>
      <c r="AP152" s="44">
        <f t="shared" ref="AP152" si="140">AL152*AJ152+AM152*AK152</f>
        <v>0</v>
      </c>
    </row>
    <row r="153" spans="1:42">
      <c r="A153" s="40"/>
      <c r="B153" s="40"/>
      <c r="C153" s="68"/>
      <c r="D153" s="10" t="s">
        <v>20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40"/>
      <c r="AK153" s="40"/>
      <c r="AL153" s="45"/>
      <c r="AM153" s="45"/>
      <c r="AN153" s="45"/>
      <c r="AO153" s="45"/>
      <c r="AP153" s="45"/>
    </row>
    <row r="154" spans="1:42">
      <c r="A154" s="40"/>
      <c r="B154" s="40"/>
      <c r="C154" s="68"/>
      <c r="D154" s="12" t="s">
        <v>21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40"/>
      <c r="AK154" s="40"/>
      <c r="AL154" s="46"/>
      <c r="AM154" s="46"/>
      <c r="AN154" s="46"/>
      <c r="AO154" s="46"/>
      <c r="AP154" s="46"/>
    </row>
    <row r="155" spans="1:42">
      <c r="A155" s="39">
        <f>A143+1</f>
        <v>46</v>
      </c>
      <c r="B155" s="39"/>
      <c r="C155" s="68"/>
      <c r="D155" s="10" t="s">
        <v>18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39">
        <f t="shared" ref="AJ155" si="141">COUNTIFS(E155:AI156,"✓")/2</f>
        <v>0</v>
      </c>
      <c r="AK155" s="39">
        <f t="shared" ref="AK155" si="142">SUM(O157:AG157)</f>
        <v>0</v>
      </c>
      <c r="AL155" s="44">
        <v>230000</v>
      </c>
      <c r="AM155" s="44">
        <v>25000</v>
      </c>
      <c r="AN155" s="44">
        <f t="shared" ref="AN155:AO155" si="143">AL155*AJ155</f>
        <v>0</v>
      </c>
      <c r="AO155" s="44">
        <f t="shared" si="143"/>
        <v>0</v>
      </c>
      <c r="AP155" s="44">
        <f t="shared" ref="AP155" si="144">AL155*AJ155+AM155*AK155</f>
        <v>0</v>
      </c>
    </row>
    <row r="156" spans="1:42">
      <c r="A156" s="40"/>
      <c r="B156" s="40"/>
      <c r="C156" s="68"/>
      <c r="D156" s="10" t="s">
        <v>20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40"/>
      <c r="AK156" s="40"/>
      <c r="AL156" s="45"/>
      <c r="AM156" s="45"/>
      <c r="AN156" s="45"/>
      <c r="AO156" s="45"/>
      <c r="AP156" s="45"/>
    </row>
    <row r="157" spans="1:42">
      <c r="A157" s="40"/>
      <c r="B157" s="40"/>
      <c r="C157" s="68"/>
      <c r="D157" s="12" t="s">
        <v>21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40"/>
      <c r="AK157" s="40"/>
      <c r="AL157" s="46"/>
      <c r="AM157" s="46"/>
      <c r="AN157" s="46"/>
      <c r="AO157" s="46"/>
      <c r="AP157" s="46"/>
    </row>
    <row r="158" spans="1:42">
      <c r="A158" s="39">
        <f t="shared" si="68"/>
        <v>47</v>
      </c>
      <c r="B158" s="39"/>
      <c r="C158" s="68"/>
      <c r="D158" s="10" t="s">
        <v>18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39">
        <f t="shared" ref="AJ158" si="145">COUNTIFS(E158:AI159,"✓")/2</f>
        <v>0</v>
      </c>
      <c r="AK158" s="39">
        <f t="shared" ref="AK158" si="146">SUM(O160:AG160)</f>
        <v>0</v>
      </c>
      <c r="AL158" s="44">
        <v>230000</v>
      </c>
      <c r="AM158" s="44">
        <v>25000</v>
      </c>
      <c r="AN158" s="44">
        <f t="shared" ref="AN158:AO158" si="147">AL158*AJ158</f>
        <v>0</v>
      </c>
      <c r="AO158" s="44">
        <f t="shared" si="147"/>
        <v>0</v>
      </c>
      <c r="AP158" s="44">
        <f t="shared" ref="AP158" si="148">AL158*AJ158+AM158*AK158</f>
        <v>0</v>
      </c>
    </row>
    <row r="159" spans="1:42">
      <c r="A159" s="40"/>
      <c r="B159" s="40"/>
      <c r="C159" s="68"/>
      <c r="D159" s="10" t="s">
        <v>20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40"/>
      <c r="AK159" s="40"/>
      <c r="AL159" s="45"/>
      <c r="AM159" s="45"/>
      <c r="AN159" s="45"/>
      <c r="AO159" s="45"/>
      <c r="AP159" s="45"/>
    </row>
    <row r="160" spans="1:42">
      <c r="A160" s="40"/>
      <c r="B160" s="40"/>
      <c r="C160" s="68"/>
      <c r="D160" s="12" t="s">
        <v>21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40"/>
      <c r="AK160" s="40"/>
      <c r="AL160" s="46"/>
      <c r="AM160" s="46"/>
      <c r="AN160" s="46"/>
      <c r="AO160" s="46"/>
      <c r="AP160" s="46"/>
    </row>
    <row r="161" spans="1:42">
      <c r="A161" s="39">
        <f t="shared" si="63"/>
        <v>48</v>
      </c>
      <c r="B161" s="39"/>
      <c r="C161" s="42" t="s">
        <v>24</v>
      </c>
      <c r="D161" s="10" t="s">
        <v>18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39">
        <f>COUNTIFS(E161:AI162,"✓")/2</f>
        <v>0</v>
      </c>
      <c r="AK161" s="39">
        <f t="shared" ref="AK161" si="149">SUM(O163:AG163)</f>
        <v>0</v>
      </c>
      <c r="AL161" s="44">
        <v>230000</v>
      </c>
      <c r="AM161" s="44">
        <v>25000</v>
      </c>
      <c r="AN161" s="44">
        <f>AL161*AJ161</f>
        <v>0</v>
      </c>
      <c r="AO161" s="44">
        <f>AM161*AK161</f>
        <v>0</v>
      </c>
      <c r="AP161" s="44"/>
    </row>
    <row r="162" spans="1:42">
      <c r="A162" s="40"/>
      <c r="B162" s="40"/>
      <c r="C162" s="43"/>
      <c r="D162" s="10" t="s">
        <v>20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40"/>
      <c r="AK162" s="40"/>
      <c r="AL162" s="45"/>
      <c r="AM162" s="45"/>
      <c r="AN162" s="45"/>
      <c r="AO162" s="45"/>
      <c r="AP162" s="45"/>
    </row>
    <row r="163" spans="1:42">
      <c r="A163" s="40"/>
      <c r="B163" s="40"/>
      <c r="C163" s="43"/>
      <c r="D163" s="12" t="s">
        <v>21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40"/>
      <c r="AK163" s="40"/>
      <c r="AL163" s="46"/>
      <c r="AM163" s="46"/>
      <c r="AN163" s="46"/>
      <c r="AO163" s="46"/>
      <c r="AP163" s="46"/>
    </row>
    <row r="164" spans="1:42">
      <c r="A164" s="39">
        <f t="shared" si="68"/>
        <v>49</v>
      </c>
      <c r="B164" s="39"/>
      <c r="C164" s="42" t="s">
        <v>24</v>
      </c>
      <c r="D164" s="10" t="s">
        <v>18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39">
        <f>COUNTIFS(E164:AI165,"✓")/2</f>
        <v>0</v>
      </c>
      <c r="AK164" s="39">
        <f>SUM(N166)</f>
        <v>0</v>
      </c>
      <c r="AL164" s="44">
        <v>230000</v>
      </c>
      <c r="AM164" s="44">
        <v>25000</v>
      </c>
      <c r="AN164" s="44">
        <f>AL164*AJ164</f>
        <v>0</v>
      </c>
      <c r="AO164" s="44">
        <f>AM164*AK164</f>
        <v>0</v>
      </c>
      <c r="AP164" s="44">
        <f t="shared" ref="AP164" si="150">AL164*AJ164+AM164*AK164</f>
        <v>0</v>
      </c>
    </row>
    <row r="165" spans="1:42">
      <c r="A165" s="40"/>
      <c r="B165" s="40"/>
      <c r="C165" s="43"/>
      <c r="D165" s="10" t="s">
        <v>20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40"/>
      <c r="AK165" s="40"/>
      <c r="AL165" s="45"/>
      <c r="AM165" s="45"/>
      <c r="AN165" s="45"/>
      <c r="AO165" s="45"/>
      <c r="AP165" s="45"/>
    </row>
    <row r="166" spans="1:42">
      <c r="A166" s="40"/>
      <c r="B166" s="40"/>
      <c r="C166" s="43"/>
      <c r="D166" s="19" t="s">
        <v>21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40"/>
      <c r="AK166" s="40"/>
      <c r="AL166" s="46"/>
      <c r="AM166" s="46"/>
      <c r="AN166" s="46"/>
      <c r="AO166" s="46"/>
      <c r="AP166" s="46"/>
    </row>
    <row r="167" spans="1:42">
      <c r="A167" s="39">
        <f t="shared" ref="A167" si="151">A164+1</f>
        <v>50</v>
      </c>
      <c r="B167" s="39"/>
      <c r="C167" s="42" t="s">
        <v>24</v>
      </c>
      <c r="D167" s="10" t="s">
        <v>18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39">
        <f t="shared" ref="AJ167" si="152">COUNTIFS(E167:AI168,"✓")/2</f>
        <v>0</v>
      </c>
      <c r="AK167" s="39">
        <f t="shared" ref="AK167" si="153">SUM(N169)</f>
        <v>0</v>
      </c>
      <c r="AL167" s="44">
        <v>230000</v>
      </c>
      <c r="AM167" s="44">
        <v>25000</v>
      </c>
      <c r="AN167" s="44">
        <f t="shared" ref="AN167:AO167" si="154">AL167*AJ167</f>
        <v>0</v>
      </c>
      <c r="AO167" s="44">
        <f t="shared" si="154"/>
        <v>0</v>
      </c>
      <c r="AP167" s="44">
        <f t="shared" ref="AP167" si="155">AL167*AJ167+AM167*AK167</f>
        <v>0</v>
      </c>
    </row>
    <row r="168" spans="1:42">
      <c r="A168" s="40"/>
      <c r="B168" s="40"/>
      <c r="C168" s="43"/>
      <c r="D168" s="10" t="s">
        <v>20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40"/>
      <c r="AK168" s="40"/>
      <c r="AL168" s="45"/>
      <c r="AM168" s="45"/>
      <c r="AN168" s="45"/>
      <c r="AO168" s="45"/>
      <c r="AP168" s="45"/>
    </row>
    <row r="169" spans="1:42">
      <c r="A169" s="40"/>
      <c r="B169" s="40"/>
      <c r="C169" s="43"/>
      <c r="D169" s="19" t="s">
        <v>21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40"/>
      <c r="AK169" s="40"/>
      <c r="AL169" s="46"/>
      <c r="AM169" s="46"/>
      <c r="AN169" s="46"/>
      <c r="AO169" s="46"/>
      <c r="AP169" s="46"/>
    </row>
    <row r="170" spans="1:42">
      <c r="A170" s="39">
        <f t="shared" ref="A170:A227" si="156">A167+1</f>
        <v>51</v>
      </c>
      <c r="B170" s="39"/>
      <c r="C170" s="42" t="s">
        <v>24</v>
      </c>
      <c r="D170" s="10" t="s">
        <v>18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39">
        <f t="shared" ref="AJ170" si="157">COUNTIFS(E170:AI171,"✓")/2</f>
        <v>0</v>
      </c>
      <c r="AK170" s="39">
        <f t="shared" ref="AK170" si="158">SUM(N172)</f>
        <v>0</v>
      </c>
      <c r="AL170" s="44">
        <v>230000</v>
      </c>
      <c r="AM170" s="44">
        <v>25000</v>
      </c>
      <c r="AN170" s="44">
        <f t="shared" ref="AN170:AO170" si="159">AL170*AJ170</f>
        <v>0</v>
      </c>
      <c r="AO170" s="44">
        <f t="shared" si="159"/>
        <v>0</v>
      </c>
      <c r="AP170" s="44">
        <f t="shared" ref="AP170" si="160">AL170*AJ170+AM170*AK170</f>
        <v>0</v>
      </c>
    </row>
    <row r="171" spans="1:42">
      <c r="A171" s="40"/>
      <c r="B171" s="40"/>
      <c r="C171" s="43"/>
      <c r="D171" s="10" t="s">
        <v>20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40"/>
      <c r="AK171" s="40"/>
      <c r="AL171" s="45"/>
      <c r="AM171" s="45"/>
      <c r="AN171" s="45"/>
      <c r="AO171" s="45"/>
      <c r="AP171" s="45"/>
    </row>
    <row r="172" spans="1:42">
      <c r="A172" s="40"/>
      <c r="B172" s="40"/>
      <c r="C172" s="43"/>
      <c r="D172" s="19" t="s">
        <v>21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40"/>
      <c r="AK172" s="40"/>
      <c r="AL172" s="46"/>
      <c r="AM172" s="46"/>
      <c r="AN172" s="46"/>
      <c r="AO172" s="46"/>
      <c r="AP172" s="46"/>
    </row>
    <row r="173" spans="1:42">
      <c r="A173" s="39">
        <f t="shared" si="156"/>
        <v>52</v>
      </c>
      <c r="B173" s="39"/>
      <c r="C173" s="42" t="s">
        <v>24</v>
      </c>
      <c r="D173" s="10" t="s">
        <v>18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39">
        <f t="shared" ref="AJ173" si="161">COUNTIFS(E173:AI174,"✓")/2</f>
        <v>0</v>
      </c>
      <c r="AK173" s="39">
        <f t="shared" ref="AK173" si="162">SUM(N175)</f>
        <v>0</v>
      </c>
      <c r="AL173" s="44">
        <v>230000</v>
      </c>
      <c r="AM173" s="44">
        <v>25000</v>
      </c>
      <c r="AN173" s="44">
        <f t="shared" ref="AN173:AO173" si="163">AL173*AJ173</f>
        <v>0</v>
      </c>
      <c r="AO173" s="44">
        <f t="shared" si="163"/>
        <v>0</v>
      </c>
      <c r="AP173" s="44">
        <f t="shared" ref="AP173" si="164">AL173*AJ173+AM173*AK173</f>
        <v>0</v>
      </c>
    </row>
    <row r="174" spans="1:42">
      <c r="A174" s="40"/>
      <c r="B174" s="40"/>
      <c r="C174" s="43"/>
      <c r="D174" s="10" t="s">
        <v>20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40"/>
      <c r="AK174" s="40"/>
      <c r="AL174" s="45"/>
      <c r="AM174" s="45"/>
      <c r="AN174" s="45"/>
      <c r="AO174" s="45"/>
      <c r="AP174" s="45"/>
    </row>
    <row r="175" spans="1:42">
      <c r="A175" s="40"/>
      <c r="B175" s="40"/>
      <c r="C175" s="43"/>
      <c r="D175" s="19" t="s">
        <v>21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40"/>
      <c r="AK175" s="40"/>
      <c r="AL175" s="46"/>
      <c r="AM175" s="46"/>
      <c r="AN175" s="46"/>
      <c r="AO175" s="46"/>
      <c r="AP175" s="46"/>
    </row>
    <row r="176" spans="1:42">
      <c r="A176" s="39">
        <f t="shared" si="156"/>
        <v>53</v>
      </c>
      <c r="B176" s="39"/>
      <c r="C176" s="42" t="s">
        <v>24</v>
      </c>
      <c r="D176" s="10" t="s">
        <v>18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39">
        <f t="shared" ref="AJ176" si="165">COUNTIFS(E176:AI177,"✓")/2</f>
        <v>0</v>
      </c>
      <c r="AK176" s="39">
        <f t="shared" ref="AK176" si="166">SUM(N178)</f>
        <v>0</v>
      </c>
      <c r="AL176" s="44">
        <v>230000</v>
      </c>
      <c r="AM176" s="44">
        <v>25000</v>
      </c>
      <c r="AN176" s="44">
        <f t="shared" ref="AN176:AO176" si="167">AL176*AJ176</f>
        <v>0</v>
      </c>
      <c r="AO176" s="44">
        <f t="shared" si="167"/>
        <v>0</v>
      </c>
      <c r="AP176" s="44">
        <f t="shared" ref="AP176" si="168">AL176*AJ176+AM176*AK176</f>
        <v>0</v>
      </c>
    </row>
    <row r="177" spans="1:42">
      <c r="A177" s="40"/>
      <c r="B177" s="40"/>
      <c r="C177" s="43"/>
      <c r="D177" s="10" t="s">
        <v>20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40"/>
      <c r="AK177" s="40"/>
      <c r="AL177" s="45"/>
      <c r="AM177" s="45"/>
      <c r="AN177" s="45"/>
      <c r="AO177" s="45"/>
      <c r="AP177" s="45"/>
    </row>
    <row r="178" spans="1:42">
      <c r="A178" s="40"/>
      <c r="B178" s="40"/>
      <c r="C178" s="43"/>
      <c r="D178" s="19" t="s">
        <v>21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40"/>
      <c r="AK178" s="40"/>
      <c r="AL178" s="46"/>
      <c r="AM178" s="46"/>
      <c r="AN178" s="46"/>
      <c r="AO178" s="46"/>
      <c r="AP178" s="46"/>
    </row>
    <row r="179" spans="1:42">
      <c r="A179" s="39">
        <f t="shared" si="156"/>
        <v>54</v>
      </c>
      <c r="B179" s="39"/>
      <c r="C179" s="42" t="s">
        <v>24</v>
      </c>
      <c r="D179" s="10" t="s">
        <v>18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39">
        <f t="shared" ref="AJ179" si="169">COUNTIFS(E179:AI180,"✓")/2</f>
        <v>0</v>
      </c>
      <c r="AK179" s="39">
        <f t="shared" ref="AK179" si="170">SUM(N181)</f>
        <v>0</v>
      </c>
      <c r="AL179" s="44">
        <v>230000</v>
      </c>
      <c r="AM179" s="44">
        <v>25000</v>
      </c>
      <c r="AN179" s="44">
        <f t="shared" ref="AN179:AO179" si="171">AL179*AJ179</f>
        <v>0</v>
      </c>
      <c r="AO179" s="44">
        <f t="shared" si="171"/>
        <v>0</v>
      </c>
      <c r="AP179" s="44">
        <f t="shared" ref="AP179" si="172">AL179*AJ179+AM179*AK179</f>
        <v>0</v>
      </c>
    </row>
    <row r="180" spans="1:42">
      <c r="A180" s="40"/>
      <c r="B180" s="40"/>
      <c r="C180" s="43"/>
      <c r="D180" s="10" t="s">
        <v>20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40"/>
      <c r="AK180" s="40"/>
      <c r="AL180" s="45"/>
      <c r="AM180" s="45"/>
      <c r="AN180" s="45"/>
      <c r="AO180" s="45"/>
      <c r="AP180" s="45"/>
    </row>
    <row r="181" spans="1:42">
      <c r="A181" s="40"/>
      <c r="B181" s="40"/>
      <c r="C181" s="43"/>
      <c r="D181" s="19" t="s">
        <v>21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40"/>
      <c r="AK181" s="40"/>
      <c r="AL181" s="46"/>
      <c r="AM181" s="46"/>
      <c r="AN181" s="46"/>
      <c r="AO181" s="46"/>
      <c r="AP181" s="46"/>
    </row>
    <row r="182" spans="1:42">
      <c r="A182" s="39">
        <f t="shared" si="156"/>
        <v>55</v>
      </c>
      <c r="B182" s="39"/>
      <c r="C182" s="42" t="s">
        <v>24</v>
      </c>
      <c r="D182" s="10" t="s">
        <v>18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39">
        <f t="shared" ref="AJ182" si="173">COUNTIFS(E182:AI183,"✓")/2</f>
        <v>0</v>
      </c>
      <c r="AK182" s="39">
        <f t="shared" ref="AK182" si="174">SUM(N184)</f>
        <v>0</v>
      </c>
      <c r="AL182" s="44">
        <v>230000</v>
      </c>
      <c r="AM182" s="44">
        <v>25000</v>
      </c>
      <c r="AN182" s="44">
        <f t="shared" ref="AN182:AO182" si="175">AL182*AJ182</f>
        <v>0</v>
      </c>
      <c r="AO182" s="44">
        <f t="shared" si="175"/>
        <v>0</v>
      </c>
      <c r="AP182" s="44">
        <f t="shared" ref="AP182" si="176">AL182*AJ182+AM182*AK182</f>
        <v>0</v>
      </c>
    </row>
    <row r="183" spans="1:42">
      <c r="A183" s="40"/>
      <c r="B183" s="40"/>
      <c r="C183" s="43"/>
      <c r="D183" s="10" t="s">
        <v>20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40"/>
      <c r="AK183" s="40"/>
      <c r="AL183" s="45"/>
      <c r="AM183" s="45"/>
      <c r="AN183" s="45"/>
      <c r="AO183" s="45"/>
      <c r="AP183" s="45"/>
    </row>
    <row r="184" spans="1:42">
      <c r="A184" s="40"/>
      <c r="B184" s="40"/>
      <c r="C184" s="43"/>
      <c r="D184" s="19" t="s">
        <v>21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40"/>
      <c r="AK184" s="40"/>
      <c r="AL184" s="46"/>
      <c r="AM184" s="46"/>
      <c r="AN184" s="46"/>
      <c r="AO184" s="46"/>
      <c r="AP184" s="46"/>
    </row>
    <row r="185" spans="1:42">
      <c r="A185" s="39">
        <f t="shared" si="156"/>
        <v>56</v>
      </c>
      <c r="B185" s="39"/>
      <c r="C185" s="42" t="s">
        <v>24</v>
      </c>
      <c r="D185" s="10" t="s">
        <v>18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39">
        <f t="shared" ref="AJ185" si="177">COUNTIFS(E185:AI186,"✓")/2</f>
        <v>0</v>
      </c>
      <c r="AK185" s="39">
        <f t="shared" ref="AK185" si="178">SUM(N187)</f>
        <v>0</v>
      </c>
      <c r="AL185" s="44">
        <v>230000</v>
      </c>
      <c r="AM185" s="44">
        <v>25000</v>
      </c>
      <c r="AN185" s="44">
        <f t="shared" ref="AN185:AO185" si="179">AL185*AJ185</f>
        <v>0</v>
      </c>
      <c r="AO185" s="44">
        <f t="shared" si="179"/>
        <v>0</v>
      </c>
      <c r="AP185" s="44">
        <f t="shared" ref="AP185" si="180">AL185*AJ185+AM185*AK185</f>
        <v>0</v>
      </c>
    </row>
    <row r="186" spans="1:42">
      <c r="A186" s="40"/>
      <c r="B186" s="40"/>
      <c r="C186" s="43"/>
      <c r="D186" s="10" t="s">
        <v>20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40"/>
      <c r="AK186" s="40"/>
      <c r="AL186" s="45"/>
      <c r="AM186" s="45"/>
      <c r="AN186" s="45"/>
      <c r="AO186" s="45"/>
      <c r="AP186" s="45"/>
    </row>
    <row r="187" spans="1:42">
      <c r="A187" s="40"/>
      <c r="B187" s="40"/>
      <c r="C187" s="43"/>
      <c r="D187" s="19" t="s">
        <v>21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40"/>
      <c r="AK187" s="40"/>
      <c r="AL187" s="46"/>
      <c r="AM187" s="46"/>
      <c r="AN187" s="46"/>
      <c r="AO187" s="46"/>
      <c r="AP187" s="46"/>
    </row>
    <row r="188" spans="1:42">
      <c r="A188" s="39">
        <f t="shared" si="156"/>
        <v>57</v>
      </c>
      <c r="B188" s="39"/>
      <c r="C188" s="42" t="s">
        <v>24</v>
      </c>
      <c r="D188" s="10" t="s">
        <v>18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39">
        <f t="shared" ref="AJ188" si="181">COUNTIFS(E188:AI189,"✓")/2</f>
        <v>0</v>
      </c>
      <c r="AK188" s="39">
        <f t="shared" ref="AK188" si="182">SUM(N190)</f>
        <v>0</v>
      </c>
      <c r="AL188" s="44">
        <v>230000</v>
      </c>
      <c r="AM188" s="44">
        <v>25000</v>
      </c>
      <c r="AN188" s="44">
        <f t="shared" ref="AN188:AO188" si="183">AL188*AJ188</f>
        <v>0</v>
      </c>
      <c r="AO188" s="44">
        <f t="shared" si="183"/>
        <v>0</v>
      </c>
      <c r="AP188" s="44">
        <f t="shared" ref="AP188" si="184">AL188*AJ188+AM188*AK188</f>
        <v>0</v>
      </c>
    </row>
    <row r="189" spans="1:42">
      <c r="A189" s="40"/>
      <c r="B189" s="40"/>
      <c r="C189" s="43"/>
      <c r="D189" s="10" t="s">
        <v>20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40"/>
      <c r="AK189" s="40"/>
      <c r="AL189" s="45"/>
      <c r="AM189" s="45"/>
      <c r="AN189" s="45"/>
      <c r="AO189" s="45"/>
      <c r="AP189" s="45"/>
    </row>
    <row r="190" spans="1:42">
      <c r="A190" s="40"/>
      <c r="B190" s="40"/>
      <c r="C190" s="43"/>
      <c r="D190" s="19" t="s">
        <v>21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40"/>
      <c r="AK190" s="40"/>
      <c r="AL190" s="46"/>
      <c r="AM190" s="46"/>
      <c r="AN190" s="46"/>
      <c r="AO190" s="46"/>
      <c r="AP190" s="46"/>
    </row>
    <row r="191" spans="1:42">
      <c r="A191" s="39">
        <f t="shared" si="156"/>
        <v>58</v>
      </c>
      <c r="B191" s="39"/>
      <c r="C191" s="42" t="s">
        <v>24</v>
      </c>
      <c r="D191" s="10" t="s">
        <v>18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39">
        <f t="shared" ref="AJ191" si="185">COUNTIFS(E191:AI192,"✓")/2</f>
        <v>0</v>
      </c>
      <c r="AK191" s="39">
        <f t="shared" ref="AK191" si="186">SUM(N193)</f>
        <v>0</v>
      </c>
      <c r="AL191" s="44">
        <v>230000</v>
      </c>
      <c r="AM191" s="44">
        <v>25000</v>
      </c>
      <c r="AN191" s="44">
        <f t="shared" ref="AN191:AO191" si="187">AL191*AJ191</f>
        <v>0</v>
      </c>
      <c r="AO191" s="44">
        <f t="shared" si="187"/>
        <v>0</v>
      </c>
      <c r="AP191" s="44">
        <f t="shared" ref="AP191" si="188">AL191*AJ191+AM191*AK191</f>
        <v>0</v>
      </c>
    </row>
    <row r="192" spans="1:42">
      <c r="A192" s="40"/>
      <c r="B192" s="40"/>
      <c r="C192" s="43"/>
      <c r="D192" s="10" t="s">
        <v>20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40"/>
      <c r="AK192" s="40"/>
      <c r="AL192" s="45"/>
      <c r="AM192" s="45"/>
      <c r="AN192" s="45"/>
      <c r="AO192" s="45"/>
      <c r="AP192" s="45"/>
    </row>
    <row r="193" spans="1:42">
      <c r="A193" s="40"/>
      <c r="B193" s="40"/>
      <c r="C193" s="43"/>
      <c r="D193" s="19" t="s">
        <v>21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40"/>
      <c r="AK193" s="40"/>
      <c r="AL193" s="46"/>
      <c r="AM193" s="46"/>
      <c r="AN193" s="46"/>
      <c r="AO193" s="46"/>
      <c r="AP193" s="46"/>
    </row>
    <row r="194" spans="1:42">
      <c r="A194" s="39">
        <f t="shared" si="156"/>
        <v>59</v>
      </c>
      <c r="B194" s="39"/>
      <c r="C194" s="42" t="s">
        <v>24</v>
      </c>
      <c r="D194" s="10" t="s">
        <v>18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39">
        <f t="shared" ref="AJ194" si="189">COUNTIFS(E194:AI195,"✓")/2</f>
        <v>0</v>
      </c>
      <c r="AK194" s="39">
        <f t="shared" ref="AK194" si="190">SUM(N196)</f>
        <v>0</v>
      </c>
      <c r="AL194" s="44">
        <v>230000</v>
      </c>
      <c r="AM194" s="44">
        <v>25000</v>
      </c>
      <c r="AN194" s="44">
        <f t="shared" ref="AN194:AO194" si="191">AL194*AJ194</f>
        <v>0</v>
      </c>
      <c r="AO194" s="44">
        <f t="shared" si="191"/>
        <v>0</v>
      </c>
      <c r="AP194" s="44">
        <f t="shared" ref="AP194" si="192">AL194*AJ194+AM194*AK194</f>
        <v>0</v>
      </c>
    </row>
    <row r="195" spans="1:42">
      <c r="A195" s="40"/>
      <c r="B195" s="40"/>
      <c r="C195" s="43"/>
      <c r="D195" s="10" t="s">
        <v>20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40"/>
      <c r="AK195" s="40"/>
      <c r="AL195" s="45"/>
      <c r="AM195" s="45"/>
      <c r="AN195" s="45"/>
      <c r="AO195" s="45"/>
      <c r="AP195" s="45"/>
    </row>
    <row r="196" spans="1:42">
      <c r="A196" s="40"/>
      <c r="B196" s="40"/>
      <c r="C196" s="43"/>
      <c r="D196" s="19" t="s">
        <v>21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40"/>
      <c r="AK196" s="40"/>
      <c r="AL196" s="46"/>
      <c r="AM196" s="46"/>
      <c r="AN196" s="46"/>
      <c r="AO196" s="46"/>
      <c r="AP196" s="46"/>
    </row>
    <row r="197" spans="1:42">
      <c r="A197" s="39">
        <f t="shared" si="156"/>
        <v>60</v>
      </c>
      <c r="B197" s="39"/>
      <c r="C197" s="42" t="s">
        <v>24</v>
      </c>
      <c r="D197" s="10" t="s">
        <v>18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39">
        <f t="shared" ref="AJ197" si="193">COUNTIFS(E197:AI198,"✓")/2</f>
        <v>0</v>
      </c>
      <c r="AK197" s="39">
        <f t="shared" ref="AK197" si="194">SUM(N199)</f>
        <v>0</v>
      </c>
      <c r="AL197" s="44">
        <v>230000</v>
      </c>
      <c r="AM197" s="44">
        <v>25000</v>
      </c>
      <c r="AN197" s="44">
        <f t="shared" ref="AN197:AO197" si="195">AL197*AJ197</f>
        <v>0</v>
      </c>
      <c r="AO197" s="44">
        <f t="shared" si="195"/>
        <v>0</v>
      </c>
      <c r="AP197" s="44">
        <f t="shared" ref="AP197" si="196">AL197*AJ197+AM197*AK197</f>
        <v>0</v>
      </c>
    </row>
    <row r="198" spans="1:42">
      <c r="A198" s="40"/>
      <c r="B198" s="40"/>
      <c r="C198" s="43"/>
      <c r="D198" s="10" t="s">
        <v>20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40"/>
      <c r="AK198" s="40"/>
      <c r="AL198" s="45"/>
      <c r="AM198" s="45"/>
      <c r="AN198" s="45"/>
      <c r="AO198" s="45"/>
      <c r="AP198" s="45"/>
    </row>
    <row r="199" spans="1:42">
      <c r="A199" s="40"/>
      <c r="B199" s="40"/>
      <c r="C199" s="43"/>
      <c r="D199" s="19" t="s">
        <v>21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40"/>
      <c r="AK199" s="40"/>
      <c r="AL199" s="46"/>
      <c r="AM199" s="46"/>
      <c r="AN199" s="46"/>
      <c r="AO199" s="46"/>
      <c r="AP199" s="46"/>
    </row>
    <row r="200" spans="1:42">
      <c r="A200" s="39">
        <f t="shared" si="156"/>
        <v>61</v>
      </c>
      <c r="B200" s="39"/>
      <c r="C200" s="42" t="s">
        <v>24</v>
      </c>
      <c r="D200" s="10" t="s">
        <v>18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39">
        <f t="shared" ref="AJ200" si="197">COUNTIFS(E200:AI201,"✓")/2</f>
        <v>0</v>
      </c>
      <c r="AK200" s="39">
        <f t="shared" ref="AK200" si="198">SUM(N202)</f>
        <v>0</v>
      </c>
      <c r="AL200" s="44">
        <v>230000</v>
      </c>
      <c r="AM200" s="44">
        <v>25000</v>
      </c>
      <c r="AN200" s="44">
        <f t="shared" ref="AN200:AO200" si="199">AL200*AJ200</f>
        <v>0</v>
      </c>
      <c r="AO200" s="44">
        <f t="shared" si="199"/>
        <v>0</v>
      </c>
      <c r="AP200" s="44">
        <f t="shared" ref="AP200" si="200">AL200*AJ200+AM200*AK200</f>
        <v>0</v>
      </c>
    </row>
    <row r="201" spans="1:42">
      <c r="A201" s="40"/>
      <c r="B201" s="40"/>
      <c r="C201" s="43"/>
      <c r="D201" s="10" t="s">
        <v>20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40"/>
      <c r="AK201" s="40"/>
      <c r="AL201" s="45"/>
      <c r="AM201" s="45"/>
      <c r="AN201" s="45"/>
      <c r="AO201" s="45"/>
      <c r="AP201" s="45"/>
    </row>
    <row r="202" spans="1:42">
      <c r="A202" s="40"/>
      <c r="B202" s="40"/>
      <c r="C202" s="43"/>
      <c r="D202" s="19" t="s">
        <v>21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40"/>
      <c r="AK202" s="40"/>
      <c r="AL202" s="46"/>
      <c r="AM202" s="46"/>
      <c r="AN202" s="46"/>
      <c r="AO202" s="46"/>
      <c r="AP202" s="46"/>
    </row>
    <row r="203" spans="1:42">
      <c r="A203" s="39">
        <f t="shared" si="156"/>
        <v>62</v>
      </c>
      <c r="B203" s="39"/>
      <c r="C203" s="42" t="s">
        <v>24</v>
      </c>
      <c r="D203" s="10" t="s">
        <v>18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39">
        <f t="shared" ref="AJ203" si="201">COUNTIFS(E203:AI204,"✓")/2</f>
        <v>0</v>
      </c>
      <c r="AK203" s="39">
        <f t="shared" ref="AK203" si="202">SUM(N205)</f>
        <v>0</v>
      </c>
      <c r="AL203" s="44">
        <v>230000</v>
      </c>
      <c r="AM203" s="44">
        <v>25000</v>
      </c>
      <c r="AN203" s="44">
        <f t="shared" ref="AN203:AO203" si="203">AL203*AJ203</f>
        <v>0</v>
      </c>
      <c r="AO203" s="44">
        <f t="shared" si="203"/>
        <v>0</v>
      </c>
      <c r="AP203" s="44">
        <f t="shared" ref="AP203" si="204">AL203*AJ203+AM203*AK203</f>
        <v>0</v>
      </c>
    </row>
    <row r="204" spans="1:42">
      <c r="A204" s="40"/>
      <c r="B204" s="40"/>
      <c r="C204" s="43"/>
      <c r="D204" s="10" t="s">
        <v>20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40"/>
      <c r="AK204" s="40"/>
      <c r="AL204" s="45"/>
      <c r="AM204" s="45"/>
      <c r="AN204" s="45"/>
      <c r="AO204" s="45"/>
      <c r="AP204" s="45"/>
    </row>
    <row r="205" spans="1:42">
      <c r="A205" s="40"/>
      <c r="B205" s="40"/>
      <c r="C205" s="43"/>
      <c r="D205" s="19" t="s">
        <v>21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40"/>
      <c r="AK205" s="40"/>
      <c r="AL205" s="46"/>
      <c r="AM205" s="46"/>
      <c r="AN205" s="46"/>
      <c r="AO205" s="46"/>
      <c r="AP205" s="46"/>
    </row>
    <row r="206" spans="1:42">
      <c r="A206" s="39">
        <f t="shared" si="156"/>
        <v>63</v>
      </c>
      <c r="B206" s="38"/>
      <c r="C206" s="42" t="s">
        <v>24</v>
      </c>
      <c r="D206" s="10" t="s">
        <v>18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39">
        <f t="shared" ref="AJ206" si="205">COUNTIFS(E206:AI207,"✓")/2</f>
        <v>0</v>
      </c>
      <c r="AK206" s="39">
        <f t="shared" ref="AK206" si="206">SUM(N208)</f>
        <v>0</v>
      </c>
      <c r="AL206" s="44">
        <v>230000</v>
      </c>
      <c r="AM206" s="44">
        <v>25000</v>
      </c>
      <c r="AN206" s="44">
        <f t="shared" ref="AN206:AO206" si="207">AL206*AJ206</f>
        <v>0</v>
      </c>
      <c r="AO206" s="44">
        <f t="shared" si="207"/>
        <v>0</v>
      </c>
      <c r="AP206" s="44">
        <f t="shared" ref="AP206" si="208">AL206*AJ206+AM206*AK206</f>
        <v>0</v>
      </c>
    </row>
    <row r="207" spans="1:42">
      <c r="A207" s="40"/>
      <c r="B207" s="38"/>
      <c r="C207" s="43"/>
      <c r="D207" s="10" t="s">
        <v>20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40"/>
      <c r="AK207" s="40"/>
      <c r="AL207" s="45"/>
      <c r="AM207" s="45"/>
      <c r="AN207" s="45"/>
      <c r="AO207" s="45"/>
      <c r="AP207" s="45"/>
    </row>
    <row r="208" spans="1:42">
      <c r="A208" s="40"/>
      <c r="B208" s="39"/>
      <c r="C208" s="43"/>
      <c r="D208" s="19" t="s">
        <v>21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40"/>
      <c r="AK208" s="40"/>
      <c r="AL208" s="46"/>
      <c r="AM208" s="46"/>
      <c r="AN208" s="46"/>
      <c r="AO208" s="46"/>
      <c r="AP208" s="46"/>
    </row>
    <row r="209" spans="1:42">
      <c r="A209" s="39">
        <f t="shared" si="156"/>
        <v>64</v>
      </c>
      <c r="B209" s="38"/>
      <c r="C209" s="42" t="s">
        <v>24</v>
      </c>
      <c r="D209" s="10" t="s">
        <v>18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39">
        <f t="shared" ref="AJ209" si="209">COUNTIFS(E209:AI210,"✓")/2</f>
        <v>0</v>
      </c>
      <c r="AK209" s="39">
        <f t="shared" ref="AK209" si="210">SUM(N211)</f>
        <v>0</v>
      </c>
      <c r="AL209" s="44">
        <v>230000</v>
      </c>
      <c r="AM209" s="44">
        <v>25000</v>
      </c>
      <c r="AN209" s="44">
        <f t="shared" ref="AN209:AO209" si="211">AL209*AJ209</f>
        <v>0</v>
      </c>
      <c r="AO209" s="44">
        <f t="shared" si="211"/>
        <v>0</v>
      </c>
      <c r="AP209" s="44">
        <f t="shared" ref="AP209" si="212">AL209*AJ209+AM209*AK209</f>
        <v>0</v>
      </c>
    </row>
    <row r="210" spans="1:42">
      <c r="A210" s="40"/>
      <c r="B210" s="38"/>
      <c r="C210" s="43"/>
      <c r="D210" s="10" t="s">
        <v>20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40"/>
      <c r="AK210" s="40"/>
      <c r="AL210" s="45"/>
      <c r="AM210" s="45"/>
      <c r="AN210" s="45"/>
      <c r="AO210" s="45"/>
      <c r="AP210" s="45"/>
    </row>
    <row r="211" spans="1:42">
      <c r="A211" s="40"/>
      <c r="B211" s="39"/>
      <c r="C211" s="43"/>
      <c r="D211" s="19" t="s">
        <v>21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40"/>
      <c r="AK211" s="40"/>
      <c r="AL211" s="46"/>
      <c r="AM211" s="46"/>
      <c r="AN211" s="46"/>
      <c r="AO211" s="46"/>
      <c r="AP211" s="46"/>
    </row>
    <row r="212" spans="1:42">
      <c r="A212" s="39">
        <f t="shared" si="156"/>
        <v>65</v>
      </c>
      <c r="B212" s="38"/>
      <c r="C212" s="42" t="s">
        <v>24</v>
      </c>
      <c r="D212" s="10" t="s">
        <v>18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39">
        <f t="shared" ref="AJ212" si="213">COUNTIFS(E212:AI213,"✓")/2</f>
        <v>0</v>
      </c>
      <c r="AK212" s="39">
        <f t="shared" ref="AK212" si="214">SUM(N214)</f>
        <v>0</v>
      </c>
      <c r="AL212" s="44">
        <v>230000</v>
      </c>
      <c r="AM212" s="44">
        <v>25000</v>
      </c>
      <c r="AN212" s="44">
        <f t="shared" ref="AN212:AO212" si="215">AL212*AJ212</f>
        <v>0</v>
      </c>
      <c r="AO212" s="44">
        <f t="shared" si="215"/>
        <v>0</v>
      </c>
      <c r="AP212" s="44">
        <f t="shared" ref="AP212" si="216">AL212*AJ212+AM212*AK212</f>
        <v>0</v>
      </c>
    </row>
    <row r="213" spans="1:42">
      <c r="A213" s="40"/>
      <c r="B213" s="38"/>
      <c r="C213" s="43"/>
      <c r="D213" s="10" t="s">
        <v>20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40"/>
      <c r="AK213" s="40"/>
      <c r="AL213" s="45"/>
      <c r="AM213" s="45"/>
      <c r="AN213" s="45"/>
      <c r="AO213" s="45"/>
      <c r="AP213" s="45"/>
    </row>
    <row r="214" spans="1:42">
      <c r="A214" s="40"/>
      <c r="B214" s="39"/>
      <c r="C214" s="43"/>
      <c r="D214" s="19" t="s">
        <v>21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40"/>
      <c r="AK214" s="40"/>
      <c r="AL214" s="46"/>
      <c r="AM214" s="46"/>
      <c r="AN214" s="46"/>
      <c r="AO214" s="46"/>
      <c r="AP214" s="46"/>
    </row>
    <row r="215" spans="1:42">
      <c r="A215" s="39">
        <f t="shared" si="156"/>
        <v>66</v>
      </c>
      <c r="B215" s="38"/>
      <c r="C215" s="42" t="s">
        <v>24</v>
      </c>
      <c r="D215" s="10" t="s">
        <v>18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39">
        <f t="shared" ref="AJ215" si="217">COUNTIFS(E215:AI216,"✓")/2</f>
        <v>0</v>
      </c>
      <c r="AK215" s="39">
        <f t="shared" ref="AK215" si="218">SUM(N217)</f>
        <v>0</v>
      </c>
      <c r="AL215" s="44">
        <v>230000</v>
      </c>
      <c r="AM215" s="44">
        <v>25000</v>
      </c>
      <c r="AN215" s="44">
        <f t="shared" ref="AN215:AO215" si="219">AL215*AJ215</f>
        <v>0</v>
      </c>
      <c r="AO215" s="44">
        <f t="shared" si="219"/>
        <v>0</v>
      </c>
      <c r="AP215" s="44">
        <f t="shared" ref="AP215" si="220">AL215*AJ215+AM215*AK215</f>
        <v>0</v>
      </c>
    </row>
    <row r="216" spans="1:42">
      <c r="A216" s="40"/>
      <c r="B216" s="38"/>
      <c r="C216" s="43"/>
      <c r="D216" s="10" t="s">
        <v>20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40"/>
      <c r="AK216" s="40"/>
      <c r="AL216" s="45"/>
      <c r="AM216" s="45"/>
      <c r="AN216" s="45"/>
      <c r="AO216" s="45"/>
      <c r="AP216" s="45"/>
    </row>
    <row r="217" spans="1:42">
      <c r="A217" s="40"/>
      <c r="B217" s="39"/>
      <c r="C217" s="43"/>
      <c r="D217" s="19" t="s">
        <v>21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40"/>
      <c r="AK217" s="40"/>
      <c r="AL217" s="46"/>
      <c r="AM217" s="46"/>
      <c r="AN217" s="46"/>
      <c r="AO217" s="46"/>
      <c r="AP217" s="46"/>
    </row>
    <row r="218" spans="1:42">
      <c r="A218" s="39">
        <f t="shared" si="156"/>
        <v>67</v>
      </c>
      <c r="B218" s="38"/>
      <c r="C218" s="42" t="s">
        <v>24</v>
      </c>
      <c r="D218" s="10" t="s">
        <v>18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39">
        <f t="shared" ref="AJ218" si="221">COUNTIFS(E218:AI219,"✓")/2</f>
        <v>0</v>
      </c>
      <c r="AK218" s="39">
        <f t="shared" ref="AK218" si="222">SUM(N220)</f>
        <v>0</v>
      </c>
      <c r="AL218" s="44">
        <v>230000</v>
      </c>
      <c r="AM218" s="44">
        <v>25000</v>
      </c>
      <c r="AN218" s="44">
        <f t="shared" ref="AN218:AO218" si="223">AL218*AJ218</f>
        <v>0</v>
      </c>
      <c r="AO218" s="44">
        <f t="shared" si="223"/>
        <v>0</v>
      </c>
      <c r="AP218" s="44">
        <f t="shared" ref="AP218" si="224">AL218*AJ218+AM218*AK218</f>
        <v>0</v>
      </c>
    </row>
    <row r="219" spans="1:42">
      <c r="A219" s="40"/>
      <c r="B219" s="38"/>
      <c r="C219" s="43"/>
      <c r="D219" s="10" t="s">
        <v>20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40"/>
      <c r="AK219" s="40"/>
      <c r="AL219" s="45"/>
      <c r="AM219" s="45"/>
      <c r="AN219" s="45"/>
      <c r="AO219" s="45"/>
      <c r="AP219" s="45"/>
    </row>
    <row r="220" spans="1:42">
      <c r="A220" s="40"/>
      <c r="B220" s="39"/>
      <c r="C220" s="43"/>
      <c r="D220" s="19" t="s">
        <v>21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40"/>
      <c r="AK220" s="40"/>
      <c r="AL220" s="46"/>
      <c r="AM220" s="46"/>
      <c r="AN220" s="46"/>
      <c r="AO220" s="46"/>
      <c r="AP220" s="46"/>
    </row>
    <row r="221" spans="1:42">
      <c r="A221" s="39">
        <f t="shared" si="156"/>
        <v>68</v>
      </c>
      <c r="B221" s="38"/>
      <c r="C221" s="42" t="s">
        <v>24</v>
      </c>
      <c r="D221" s="10" t="s">
        <v>18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39">
        <f t="shared" ref="AJ221" si="225">COUNTIFS(E221:AI222,"✓")/2</f>
        <v>0</v>
      </c>
      <c r="AK221" s="39">
        <f t="shared" ref="AK221" si="226">SUM(N223)</f>
        <v>0</v>
      </c>
      <c r="AL221" s="44">
        <v>230000</v>
      </c>
      <c r="AM221" s="44">
        <v>25000</v>
      </c>
      <c r="AN221" s="44">
        <f t="shared" ref="AN221:AO221" si="227">AL221*AJ221</f>
        <v>0</v>
      </c>
      <c r="AO221" s="44">
        <f t="shared" si="227"/>
        <v>0</v>
      </c>
      <c r="AP221" s="44">
        <f t="shared" ref="AP221" si="228">AL221*AJ221+AM221*AK221</f>
        <v>0</v>
      </c>
    </row>
    <row r="222" spans="1:42">
      <c r="A222" s="40"/>
      <c r="B222" s="38"/>
      <c r="C222" s="43"/>
      <c r="D222" s="10" t="s">
        <v>20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40"/>
      <c r="AK222" s="40"/>
      <c r="AL222" s="45"/>
      <c r="AM222" s="45"/>
      <c r="AN222" s="45"/>
      <c r="AO222" s="45"/>
      <c r="AP222" s="45"/>
    </row>
    <row r="223" spans="1:42">
      <c r="A223" s="40"/>
      <c r="B223" s="39"/>
      <c r="C223" s="43"/>
      <c r="D223" s="19" t="s">
        <v>21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40"/>
      <c r="AK223" s="40"/>
      <c r="AL223" s="46"/>
      <c r="AM223" s="46"/>
      <c r="AN223" s="46"/>
      <c r="AO223" s="46"/>
      <c r="AP223" s="46"/>
    </row>
    <row r="224" spans="1:42">
      <c r="A224" s="39">
        <f t="shared" si="156"/>
        <v>69</v>
      </c>
      <c r="B224" s="38"/>
      <c r="C224" s="42" t="s">
        <v>24</v>
      </c>
      <c r="D224" s="10" t="s">
        <v>18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39">
        <f t="shared" ref="AJ224" si="229">COUNTIFS(E224:AI225,"✓")/2</f>
        <v>0</v>
      </c>
      <c r="AK224" s="39">
        <f t="shared" ref="AK224" si="230">SUM(N226)</f>
        <v>0</v>
      </c>
      <c r="AL224" s="44">
        <v>230000</v>
      </c>
      <c r="AM224" s="44">
        <v>25000</v>
      </c>
      <c r="AN224" s="44">
        <f t="shared" ref="AN224:AO224" si="231">AL224*AJ224</f>
        <v>0</v>
      </c>
      <c r="AO224" s="44">
        <f t="shared" si="231"/>
        <v>0</v>
      </c>
      <c r="AP224" s="44">
        <f t="shared" ref="AP224" si="232">AL224*AJ224+AM224*AK224</f>
        <v>0</v>
      </c>
    </row>
    <row r="225" spans="1:42">
      <c r="A225" s="40"/>
      <c r="B225" s="38"/>
      <c r="C225" s="43"/>
      <c r="D225" s="10" t="s">
        <v>20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40"/>
      <c r="AK225" s="40"/>
      <c r="AL225" s="45"/>
      <c r="AM225" s="45"/>
      <c r="AN225" s="45"/>
      <c r="AO225" s="45"/>
      <c r="AP225" s="45"/>
    </row>
    <row r="226" spans="1:42">
      <c r="A226" s="40"/>
      <c r="B226" s="39"/>
      <c r="C226" s="43"/>
      <c r="D226" s="19" t="s">
        <v>21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40"/>
      <c r="AK226" s="40"/>
      <c r="AL226" s="46"/>
      <c r="AM226" s="46"/>
      <c r="AN226" s="46"/>
      <c r="AO226" s="46"/>
      <c r="AP226" s="46"/>
    </row>
    <row r="227" spans="1:42">
      <c r="A227" s="39">
        <f t="shared" si="156"/>
        <v>70</v>
      </c>
      <c r="B227" s="38"/>
      <c r="C227" s="42" t="s">
        <v>24</v>
      </c>
      <c r="D227" s="10" t="s">
        <v>18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39">
        <f t="shared" ref="AJ227" si="233">COUNTIFS(E227:AI228,"✓")/2</f>
        <v>0</v>
      </c>
      <c r="AK227" s="39">
        <f t="shared" ref="AK227" si="234">SUM(N229)</f>
        <v>0</v>
      </c>
      <c r="AL227" s="44">
        <v>230000</v>
      </c>
      <c r="AM227" s="44">
        <v>25000</v>
      </c>
      <c r="AN227" s="44">
        <f t="shared" ref="AN227:AO227" si="235">AL227*AJ227</f>
        <v>0</v>
      </c>
      <c r="AO227" s="44">
        <f t="shared" si="235"/>
        <v>0</v>
      </c>
      <c r="AP227" s="44">
        <f t="shared" ref="AP227" si="236">AL227*AJ227+AM227*AK227</f>
        <v>0</v>
      </c>
    </row>
    <row r="228" spans="1:42">
      <c r="A228" s="40"/>
      <c r="B228" s="38"/>
      <c r="C228" s="43"/>
      <c r="D228" s="10" t="s">
        <v>20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40"/>
      <c r="AK228" s="40"/>
      <c r="AL228" s="45"/>
      <c r="AM228" s="45"/>
      <c r="AN228" s="45"/>
      <c r="AO228" s="45"/>
      <c r="AP228" s="45"/>
    </row>
    <row r="229" spans="1:42">
      <c r="A229" s="40"/>
      <c r="B229" s="39"/>
      <c r="C229" s="43"/>
      <c r="D229" s="19" t="s">
        <v>21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40"/>
      <c r="AK229" s="40"/>
      <c r="AL229" s="46"/>
      <c r="AM229" s="46"/>
      <c r="AN229" s="46"/>
      <c r="AO229" s="46"/>
      <c r="AP229" s="46"/>
    </row>
    <row r="230" spans="1:42">
      <c r="A230" s="38">
        <f t="shared" ref="A230" si="237">A227+1</f>
        <v>71</v>
      </c>
      <c r="B230" s="66"/>
      <c r="C230" s="67" t="s">
        <v>24</v>
      </c>
      <c r="D230" s="10" t="s">
        <v>18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38">
        <f>COUNTIFS(E230:AI231,"✓")/2</f>
        <v>0</v>
      </c>
      <c r="AK230" s="38">
        <f>SUM(N232)</f>
        <v>0</v>
      </c>
      <c r="AL230" s="47">
        <v>230000</v>
      </c>
      <c r="AM230" s="47">
        <v>25000</v>
      </c>
      <c r="AN230" s="47">
        <f>AL230*AJ230</f>
        <v>0</v>
      </c>
      <c r="AO230" s="47">
        <f>AM230*AK230</f>
        <v>0</v>
      </c>
      <c r="AP230" s="47">
        <f t="shared" ref="AP230" si="238">AL230*AJ230+AM230*AK230</f>
        <v>0</v>
      </c>
    </row>
    <row r="231" spans="1:42">
      <c r="A231" s="38"/>
      <c r="B231" s="66"/>
      <c r="C231" s="68"/>
      <c r="D231" s="10" t="s">
        <v>20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38"/>
      <c r="AK231" s="38"/>
      <c r="AL231" s="47"/>
      <c r="AM231" s="47"/>
      <c r="AN231" s="47"/>
      <c r="AO231" s="47"/>
      <c r="AP231" s="47"/>
    </row>
    <row r="232" spans="1:42">
      <c r="A232" s="38"/>
      <c r="B232" s="66"/>
      <c r="C232" s="68"/>
      <c r="D232" s="12" t="s">
        <v>21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38"/>
      <c r="AK232" s="38"/>
      <c r="AL232" s="47"/>
      <c r="AM232" s="47"/>
      <c r="AN232" s="47"/>
      <c r="AO232" s="47"/>
      <c r="AP232" s="47"/>
    </row>
    <row r="233" spans="1:42">
      <c r="A233" s="38">
        <f t="shared" ref="A233" si="239">A230+1</f>
        <v>72</v>
      </c>
      <c r="B233" s="66"/>
      <c r="C233" s="67" t="s">
        <v>24</v>
      </c>
      <c r="D233" s="10" t="s">
        <v>18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38">
        <f>COUNTIFS(E233:AI234,"✓")/2</f>
        <v>0</v>
      </c>
      <c r="AK233" s="38">
        <f>SUM(N235)</f>
        <v>0</v>
      </c>
      <c r="AL233" s="47">
        <v>230000</v>
      </c>
      <c r="AM233" s="47">
        <v>25000</v>
      </c>
      <c r="AN233" s="47">
        <f>AL233*AJ233</f>
        <v>0</v>
      </c>
      <c r="AO233" s="47">
        <f>AM233*AK233</f>
        <v>0</v>
      </c>
      <c r="AP233" s="47">
        <f t="shared" ref="AP233" si="240">AL233*AJ233+AM233*AK233</f>
        <v>0</v>
      </c>
    </row>
    <row r="234" spans="1:42">
      <c r="A234" s="38"/>
      <c r="B234" s="66"/>
      <c r="C234" s="68"/>
      <c r="D234" s="10" t="s">
        <v>20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38"/>
      <c r="AK234" s="38"/>
      <c r="AL234" s="47"/>
      <c r="AM234" s="47"/>
      <c r="AN234" s="47"/>
      <c r="AO234" s="47"/>
      <c r="AP234" s="47"/>
    </row>
    <row r="235" spans="1:42">
      <c r="A235" s="38"/>
      <c r="B235" s="66"/>
      <c r="C235" s="68"/>
      <c r="D235" s="12" t="s">
        <v>21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38"/>
      <c r="AK235" s="38"/>
      <c r="AL235" s="47"/>
      <c r="AM235" s="47"/>
      <c r="AN235" s="47"/>
      <c r="AO235" s="47"/>
      <c r="AP235" s="47"/>
    </row>
    <row r="236" spans="1:42">
      <c r="A236" s="38">
        <f t="shared" ref="A236" si="241">A233+1</f>
        <v>73</v>
      </c>
      <c r="B236" s="66"/>
      <c r="C236" s="67" t="s">
        <v>24</v>
      </c>
      <c r="D236" s="10" t="s">
        <v>18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38">
        <f>COUNTIFS(E236:AI238,"✓")/2</f>
        <v>0</v>
      </c>
      <c r="AK236" s="38">
        <f t="shared" ref="AK236" si="242">SUM(O238:AG238)</f>
        <v>0</v>
      </c>
      <c r="AL236" s="47">
        <v>230000</v>
      </c>
      <c r="AM236" s="47">
        <v>25000</v>
      </c>
      <c r="AN236" s="47">
        <f>AL236*AJ236</f>
        <v>0</v>
      </c>
      <c r="AO236" s="47">
        <f>AM236*AK236</f>
        <v>0</v>
      </c>
      <c r="AP236" s="47">
        <f t="shared" ref="AP236" si="243">AL236*AJ236+AM236*AK236</f>
        <v>0</v>
      </c>
    </row>
    <row r="237" spans="1:42">
      <c r="A237" s="38"/>
      <c r="B237" s="66"/>
      <c r="C237" s="68"/>
      <c r="D237" s="10" t="s">
        <v>20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38"/>
      <c r="AK237" s="38"/>
      <c r="AL237" s="47"/>
      <c r="AM237" s="47"/>
      <c r="AN237" s="47"/>
      <c r="AO237" s="47"/>
      <c r="AP237" s="47"/>
    </row>
    <row r="238" spans="1:42">
      <c r="A238" s="38"/>
      <c r="B238" s="66"/>
      <c r="C238" s="68"/>
      <c r="D238" s="12" t="s">
        <v>21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38"/>
      <c r="AK238" s="38"/>
      <c r="AL238" s="47"/>
      <c r="AM238" s="47"/>
      <c r="AN238" s="47"/>
      <c r="AO238" s="47"/>
      <c r="AP238" s="47"/>
    </row>
    <row r="239" spans="1:42">
      <c r="A239" s="60" t="s">
        <v>27</v>
      </c>
      <c r="B239" s="61"/>
      <c r="C239" s="61"/>
      <c r="D239" s="62"/>
      <c r="E239" s="52">
        <f t="shared" ref="E239:AI239" si="244">COUNTIFS(E5:E238,"✓")/2</f>
        <v>3</v>
      </c>
      <c r="F239" s="52">
        <f t="shared" si="244"/>
        <v>2</v>
      </c>
      <c r="G239" s="52">
        <f t="shared" si="244"/>
        <v>6</v>
      </c>
      <c r="H239" s="52">
        <f t="shared" si="244"/>
        <v>9</v>
      </c>
      <c r="I239" s="52">
        <f t="shared" si="244"/>
        <v>9</v>
      </c>
      <c r="J239" s="52">
        <f t="shared" si="244"/>
        <v>10</v>
      </c>
      <c r="K239" s="56">
        <f t="shared" si="244"/>
        <v>6</v>
      </c>
      <c r="L239" s="52">
        <f t="shared" si="244"/>
        <v>11</v>
      </c>
      <c r="M239" s="52">
        <f t="shared" si="244"/>
        <v>13.5</v>
      </c>
      <c r="N239" s="52">
        <f t="shared" si="244"/>
        <v>13</v>
      </c>
      <c r="O239" s="52">
        <f t="shared" si="244"/>
        <v>5</v>
      </c>
      <c r="P239" s="52">
        <f t="shared" si="244"/>
        <v>6</v>
      </c>
      <c r="Q239" s="52">
        <f t="shared" si="244"/>
        <v>6</v>
      </c>
      <c r="R239" s="52">
        <f t="shared" si="244"/>
        <v>7</v>
      </c>
      <c r="S239" s="52">
        <f t="shared" si="244"/>
        <v>7</v>
      </c>
      <c r="T239" s="52">
        <f t="shared" si="244"/>
        <v>3</v>
      </c>
      <c r="U239" s="52">
        <f t="shared" si="244"/>
        <v>0</v>
      </c>
      <c r="V239" s="52">
        <f t="shared" si="244"/>
        <v>0</v>
      </c>
      <c r="W239" s="52">
        <f t="shared" si="244"/>
        <v>0</v>
      </c>
      <c r="X239" s="52">
        <f t="shared" si="244"/>
        <v>0</v>
      </c>
      <c r="Y239" s="52">
        <f t="shared" si="244"/>
        <v>0</v>
      </c>
      <c r="Z239" s="52">
        <f t="shared" si="244"/>
        <v>0</v>
      </c>
      <c r="AA239" s="52">
        <f t="shared" si="244"/>
        <v>0</v>
      </c>
      <c r="AB239" s="52">
        <f t="shared" si="244"/>
        <v>0</v>
      </c>
      <c r="AC239" s="52">
        <f t="shared" si="244"/>
        <v>0</v>
      </c>
      <c r="AD239" s="52">
        <f t="shared" si="244"/>
        <v>0</v>
      </c>
      <c r="AE239" s="52">
        <f t="shared" si="244"/>
        <v>0</v>
      </c>
      <c r="AF239" s="52">
        <f t="shared" si="244"/>
        <v>0</v>
      </c>
      <c r="AG239" s="52">
        <f t="shared" si="244"/>
        <v>0</v>
      </c>
      <c r="AH239" s="52">
        <f t="shared" si="244"/>
        <v>0</v>
      </c>
      <c r="AI239" s="52">
        <f t="shared" si="244"/>
        <v>0</v>
      </c>
      <c r="AJ239" s="54">
        <f>SUM(E239:AI240)</f>
        <v>116.5</v>
      </c>
      <c r="AK239" s="52">
        <f>SUM(AK4:AK238)</f>
        <v>10.5</v>
      </c>
      <c r="AL239" s="50"/>
      <c r="AM239" s="50"/>
      <c r="AN239" s="50">
        <f>SUM(AN4:AN238)</f>
        <v>31500000</v>
      </c>
      <c r="AO239" s="50">
        <f>SUM(AO4:AO238)</f>
        <v>292500</v>
      </c>
      <c r="AP239" s="50">
        <f>SUM(AP4:AP238)</f>
        <v>31792500</v>
      </c>
    </row>
    <row r="240" spans="1:42">
      <c r="A240" s="63"/>
      <c r="B240" s="64"/>
      <c r="C240" s="64"/>
      <c r="D240" s="65"/>
      <c r="E240" s="53"/>
      <c r="F240" s="53"/>
      <c r="G240" s="53"/>
      <c r="H240" s="53"/>
      <c r="I240" s="53"/>
      <c r="J240" s="53"/>
      <c r="K240" s="57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5"/>
      <c r="AK240" s="53"/>
      <c r="AL240" s="51"/>
      <c r="AM240" s="51"/>
      <c r="AN240" s="51"/>
      <c r="AO240" s="51"/>
      <c r="AP240" s="51"/>
    </row>
    <row r="241" spans="1:42" ht="1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5"/>
      <c r="AM241" s="15"/>
      <c r="AN241" s="15"/>
      <c r="AO241" s="15"/>
      <c r="AP241" s="15"/>
    </row>
  </sheetData>
  <autoFilter ref="AP3:AP240" xr:uid="{00000000-0009-0000-0000-000000000000}"/>
  <mergeCells count="833">
    <mergeCell ref="AP239:AP240"/>
    <mergeCell ref="AE239:AE240"/>
    <mergeCell ref="AF239:AF240"/>
    <mergeCell ref="AG239:AG240"/>
    <mergeCell ref="AH239:AH240"/>
    <mergeCell ref="AI239:AI240"/>
    <mergeCell ref="AJ239:AJ240"/>
    <mergeCell ref="U239:U240"/>
    <mergeCell ref="V239:V240"/>
    <mergeCell ref="W239:W240"/>
    <mergeCell ref="X239:X240"/>
    <mergeCell ref="AK239:AK240"/>
    <mergeCell ref="AL239:AL240"/>
    <mergeCell ref="AM239:AM240"/>
    <mergeCell ref="AN239:AN240"/>
    <mergeCell ref="AO239:AO240"/>
    <mergeCell ref="M239:M240"/>
    <mergeCell ref="N239:N240"/>
    <mergeCell ref="O239:O240"/>
    <mergeCell ref="P239:P240"/>
    <mergeCell ref="Q239:Q240"/>
    <mergeCell ref="R239:R240"/>
    <mergeCell ref="AP236:AP238"/>
    <mergeCell ref="A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Y239:Y240"/>
    <mergeCell ref="Z239:Z240"/>
    <mergeCell ref="AA239:AA240"/>
    <mergeCell ref="AB239:AB240"/>
    <mergeCell ref="AC239:AC240"/>
    <mergeCell ref="AD239:AD240"/>
    <mergeCell ref="S239:S240"/>
    <mergeCell ref="T239:T240"/>
    <mergeCell ref="A236:A238"/>
    <mergeCell ref="B236:B238"/>
    <mergeCell ref="C236:C238"/>
    <mergeCell ref="AJ236:AJ238"/>
    <mergeCell ref="AK236:AK238"/>
    <mergeCell ref="AL236:AL238"/>
    <mergeCell ref="AM236:AM238"/>
    <mergeCell ref="AN236:AN238"/>
    <mergeCell ref="AO236:AO238"/>
    <mergeCell ref="AP230:AP232"/>
    <mergeCell ref="A233:A235"/>
    <mergeCell ref="B233:B235"/>
    <mergeCell ref="C233:C235"/>
    <mergeCell ref="AJ233:AJ235"/>
    <mergeCell ref="AK233:AK235"/>
    <mergeCell ref="AL233:AL235"/>
    <mergeCell ref="AM233:AM235"/>
    <mergeCell ref="AN233:AN235"/>
    <mergeCell ref="AO233:AO235"/>
    <mergeCell ref="AP233:AP235"/>
    <mergeCell ref="A230:A232"/>
    <mergeCell ref="B230:B232"/>
    <mergeCell ref="C230:C232"/>
    <mergeCell ref="AJ230:AJ232"/>
    <mergeCell ref="AK230:AK232"/>
    <mergeCell ref="AL230:AL232"/>
    <mergeCell ref="AM230:AM232"/>
    <mergeCell ref="AN230:AN232"/>
    <mergeCell ref="AO230:AO232"/>
    <mergeCell ref="AP224:AP226"/>
    <mergeCell ref="A227:A229"/>
    <mergeCell ref="B227:B229"/>
    <mergeCell ref="C227:C229"/>
    <mergeCell ref="AJ227:AJ229"/>
    <mergeCell ref="AK227:AK229"/>
    <mergeCell ref="AL227:AL229"/>
    <mergeCell ref="AM227:AM229"/>
    <mergeCell ref="AN227:AN229"/>
    <mergeCell ref="AO227:AO229"/>
    <mergeCell ref="AP227:AP229"/>
    <mergeCell ref="A224:A226"/>
    <mergeCell ref="B224:B226"/>
    <mergeCell ref="C224:C226"/>
    <mergeCell ref="AJ224:AJ226"/>
    <mergeCell ref="AK224:AK226"/>
    <mergeCell ref="AL224:AL226"/>
    <mergeCell ref="AM224:AM226"/>
    <mergeCell ref="AN224:AN226"/>
    <mergeCell ref="AO224:AO226"/>
    <mergeCell ref="AP218:AP220"/>
    <mergeCell ref="A221:A223"/>
    <mergeCell ref="B221:B223"/>
    <mergeCell ref="C221:C223"/>
    <mergeCell ref="AJ221:AJ223"/>
    <mergeCell ref="AK221:AK223"/>
    <mergeCell ref="AL221:AL223"/>
    <mergeCell ref="AM221:AM223"/>
    <mergeCell ref="AN221:AN223"/>
    <mergeCell ref="AO221:AO223"/>
    <mergeCell ref="AP221:AP223"/>
    <mergeCell ref="A218:A220"/>
    <mergeCell ref="B218:B220"/>
    <mergeCell ref="C218:C220"/>
    <mergeCell ref="AJ218:AJ220"/>
    <mergeCell ref="AK218:AK220"/>
    <mergeCell ref="AL218:AL220"/>
    <mergeCell ref="AM218:AM220"/>
    <mergeCell ref="AN218:AN220"/>
    <mergeCell ref="AO218:AO220"/>
    <mergeCell ref="AP212:AP214"/>
    <mergeCell ref="A215:A217"/>
    <mergeCell ref="B215:B217"/>
    <mergeCell ref="C215:C217"/>
    <mergeCell ref="AJ215:AJ217"/>
    <mergeCell ref="AK215:AK217"/>
    <mergeCell ref="AL215:AL217"/>
    <mergeCell ref="AM215:AM217"/>
    <mergeCell ref="AN215:AN217"/>
    <mergeCell ref="AO215:AO217"/>
    <mergeCell ref="AP215:AP217"/>
    <mergeCell ref="A212:A214"/>
    <mergeCell ref="B212:B214"/>
    <mergeCell ref="C212:C214"/>
    <mergeCell ref="AJ212:AJ214"/>
    <mergeCell ref="AK212:AK214"/>
    <mergeCell ref="AL212:AL214"/>
    <mergeCell ref="AM212:AM214"/>
    <mergeCell ref="AN212:AN214"/>
    <mergeCell ref="AO212:AO214"/>
    <mergeCell ref="AP206:AP208"/>
    <mergeCell ref="A209:A211"/>
    <mergeCell ref="B209:B211"/>
    <mergeCell ref="C209:C211"/>
    <mergeCell ref="AJ209:AJ211"/>
    <mergeCell ref="AK209:AK211"/>
    <mergeCell ref="AL209:AL211"/>
    <mergeCell ref="AM209:AM211"/>
    <mergeCell ref="AN209:AN211"/>
    <mergeCell ref="AO209:AO211"/>
    <mergeCell ref="AP209:AP211"/>
    <mergeCell ref="A206:A208"/>
    <mergeCell ref="B206:B208"/>
    <mergeCell ref="C206:C208"/>
    <mergeCell ref="AJ206:AJ208"/>
    <mergeCell ref="AK206:AK208"/>
    <mergeCell ref="AL206:AL208"/>
    <mergeCell ref="AM206:AM208"/>
    <mergeCell ref="AN206:AN208"/>
    <mergeCell ref="AO206:AO208"/>
    <mergeCell ref="AP200:AP202"/>
    <mergeCell ref="A203:A205"/>
    <mergeCell ref="B203:B205"/>
    <mergeCell ref="C203:C205"/>
    <mergeCell ref="AJ203:AJ205"/>
    <mergeCell ref="AK203:AK205"/>
    <mergeCell ref="AL203:AL205"/>
    <mergeCell ref="AM203:AM205"/>
    <mergeCell ref="AN203:AN205"/>
    <mergeCell ref="AO203:AO205"/>
    <mergeCell ref="AP203:AP205"/>
    <mergeCell ref="A200:A202"/>
    <mergeCell ref="B200:B202"/>
    <mergeCell ref="C200:C202"/>
    <mergeCell ref="AJ200:AJ202"/>
    <mergeCell ref="AK200:AK202"/>
    <mergeCell ref="AL200:AL202"/>
    <mergeCell ref="AM200:AM202"/>
    <mergeCell ref="AN200:AN202"/>
    <mergeCell ref="AO200:AO202"/>
    <mergeCell ref="AP194:AP196"/>
    <mergeCell ref="A197:A199"/>
    <mergeCell ref="B197:B199"/>
    <mergeCell ref="C197:C199"/>
    <mergeCell ref="AJ197:AJ199"/>
    <mergeCell ref="AK197:AK199"/>
    <mergeCell ref="AL197:AL199"/>
    <mergeCell ref="AM197:AM199"/>
    <mergeCell ref="AN197:AN199"/>
    <mergeCell ref="AO197:AO199"/>
    <mergeCell ref="AP197:AP199"/>
    <mergeCell ref="A194:A196"/>
    <mergeCell ref="B194:B196"/>
    <mergeCell ref="C194:C196"/>
    <mergeCell ref="AJ194:AJ196"/>
    <mergeCell ref="AK194:AK196"/>
    <mergeCell ref="AL194:AL196"/>
    <mergeCell ref="AM194:AM196"/>
    <mergeCell ref="AN194:AN196"/>
    <mergeCell ref="AO194:AO196"/>
    <mergeCell ref="AP188:AP190"/>
    <mergeCell ref="A191:A193"/>
    <mergeCell ref="B191:B193"/>
    <mergeCell ref="C191:C193"/>
    <mergeCell ref="AJ191:AJ193"/>
    <mergeCell ref="AK191:AK193"/>
    <mergeCell ref="AL191:AL193"/>
    <mergeCell ref="AM191:AM193"/>
    <mergeCell ref="AN191:AN193"/>
    <mergeCell ref="AO191:AO193"/>
    <mergeCell ref="AP191:AP193"/>
    <mergeCell ref="A188:A190"/>
    <mergeCell ref="B188:B190"/>
    <mergeCell ref="C188:C190"/>
    <mergeCell ref="AJ188:AJ190"/>
    <mergeCell ref="AK188:AK190"/>
    <mergeCell ref="AL188:AL190"/>
    <mergeCell ref="AM188:AM190"/>
    <mergeCell ref="AN188:AN190"/>
    <mergeCell ref="AO188:AO190"/>
    <mergeCell ref="AP182:AP184"/>
    <mergeCell ref="A185:A187"/>
    <mergeCell ref="B185:B187"/>
    <mergeCell ref="C185:C187"/>
    <mergeCell ref="AJ185:AJ187"/>
    <mergeCell ref="AK185:AK187"/>
    <mergeCell ref="AL185:AL187"/>
    <mergeCell ref="AM185:AM187"/>
    <mergeCell ref="AN185:AN187"/>
    <mergeCell ref="AO185:AO187"/>
    <mergeCell ref="AP185:AP187"/>
    <mergeCell ref="A182:A184"/>
    <mergeCell ref="B182:B184"/>
    <mergeCell ref="C182:C184"/>
    <mergeCell ref="AJ182:AJ184"/>
    <mergeCell ref="AK182:AK184"/>
    <mergeCell ref="AL182:AL184"/>
    <mergeCell ref="AM182:AM184"/>
    <mergeCell ref="AN182:AN184"/>
    <mergeCell ref="AO182:AO184"/>
    <mergeCell ref="AP176:AP178"/>
    <mergeCell ref="A179:A181"/>
    <mergeCell ref="B179:B181"/>
    <mergeCell ref="C179:C181"/>
    <mergeCell ref="AJ179:AJ181"/>
    <mergeCell ref="AK179:AK181"/>
    <mergeCell ref="AL179:AL181"/>
    <mergeCell ref="AM179:AM181"/>
    <mergeCell ref="AN179:AN181"/>
    <mergeCell ref="AO179:AO181"/>
    <mergeCell ref="AP179:AP181"/>
    <mergeCell ref="A176:A178"/>
    <mergeCell ref="B176:B178"/>
    <mergeCell ref="C176:C178"/>
    <mergeCell ref="AJ176:AJ178"/>
    <mergeCell ref="AK176:AK178"/>
    <mergeCell ref="AL176:AL178"/>
    <mergeCell ref="AM176:AM178"/>
    <mergeCell ref="AN176:AN178"/>
    <mergeCell ref="AO176:AO178"/>
    <mergeCell ref="AP170:AP172"/>
    <mergeCell ref="A173:A175"/>
    <mergeCell ref="B173:B175"/>
    <mergeCell ref="C173:C175"/>
    <mergeCell ref="AJ173:AJ175"/>
    <mergeCell ref="AK173:AK175"/>
    <mergeCell ref="AL173:AL175"/>
    <mergeCell ref="AM173:AM175"/>
    <mergeCell ref="AN173:AN175"/>
    <mergeCell ref="AO173:AO175"/>
    <mergeCell ref="AP173:AP175"/>
    <mergeCell ref="A170:A172"/>
    <mergeCell ref="B170:B172"/>
    <mergeCell ref="C170:C172"/>
    <mergeCell ref="AJ170:AJ172"/>
    <mergeCell ref="AK170:AK172"/>
    <mergeCell ref="AL170:AL172"/>
    <mergeCell ref="AM170:AM172"/>
    <mergeCell ref="AN170:AN172"/>
    <mergeCell ref="AO170:AO172"/>
    <mergeCell ref="AP164:AP166"/>
    <mergeCell ref="A167:A169"/>
    <mergeCell ref="B167:B169"/>
    <mergeCell ref="C167:C169"/>
    <mergeCell ref="AJ167:AJ169"/>
    <mergeCell ref="AK167:AK169"/>
    <mergeCell ref="AL167:AL169"/>
    <mergeCell ref="AM167:AM169"/>
    <mergeCell ref="AN167:AN169"/>
    <mergeCell ref="AO167:AO169"/>
    <mergeCell ref="AP167:AP169"/>
    <mergeCell ref="A164:A166"/>
    <mergeCell ref="B164:B166"/>
    <mergeCell ref="C164:C166"/>
    <mergeCell ref="AJ164:AJ166"/>
    <mergeCell ref="AK164:AK166"/>
    <mergeCell ref="AL164:AL166"/>
    <mergeCell ref="AM164:AM166"/>
    <mergeCell ref="AN164:AN166"/>
    <mergeCell ref="AO164:AO166"/>
    <mergeCell ref="AP158:AP160"/>
    <mergeCell ref="A161:A163"/>
    <mergeCell ref="B161:B163"/>
    <mergeCell ref="C161:C163"/>
    <mergeCell ref="AJ161:AJ163"/>
    <mergeCell ref="AK161:AK163"/>
    <mergeCell ref="AL161:AL163"/>
    <mergeCell ref="AM161:AM163"/>
    <mergeCell ref="AN161:AN163"/>
    <mergeCell ref="AO161:AO163"/>
    <mergeCell ref="AP161:AP163"/>
    <mergeCell ref="A158:A160"/>
    <mergeCell ref="B158:B160"/>
    <mergeCell ref="C158:C160"/>
    <mergeCell ref="AJ158:AJ160"/>
    <mergeCell ref="AK158:AK160"/>
    <mergeCell ref="AL158:AL160"/>
    <mergeCell ref="AM158:AM160"/>
    <mergeCell ref="AN158:AN160"/>
    <mergeCell ref="AO158:AO160"/>
    <mergeCell ref="AP152:AP154"/>
    <mergeCell ref="A155:A157"/>
    <mergeCell ref="B155:B157"/>
    <mergeCell ref="C155:C157"/>
    <mergeCell ref="AJ155:AJ157"/>
    <mergeCell ref="AK155:AK157"/>
    <mergeCell ref="AL155:AL157"/>
    <mergeCell ref="AM155:AM157"/>
    <mergeCell ref="AN155:AN157"/>
    <mergeCell ref="AO155:AO157"/>
    <mergeCell ref="AP155:AP157"/>
    <mergeCell ref="A152:A154"/>
    <mergeCell ref="B152:B154"/>
    <mergeCell ref="C152:C154"/>
    <mergeCell ref="AJ152:AJ154"/>
    <mergeCell ref="AK152:AK154"/>
    <mergeCell ref="AL152:AL154"/>
    <mergeCell ref="AM152:AM154"/>
    <mergeCell ref="AN152:AN154"/>
    <mergeCell ref="AO152:AO154"/>
    <mergeCell ref="AP146:AP148"/>
    <mergeCell ref="A149:A151"/>
    <mergeCell ref="B149:B151"/>
    <mergeCell ref="C149:C151"/>
    <mergeCell ref="AJ149:AJ151"/>
    <mergeCell ref="AK149:AK151"/>
    <mergeCell ref="AL149:AL151"/>
    <mergeCell ref="AM149:AM151"/>
    <mergeCell ref="AN149:AN151"/>
    <mergeCell ref="AO149:AO151"/>
    <mergeCell ref="AP149:AP151"/>
    <mergeCell ref="A146:A148"/>
    <mergeCell ref="B146:B148"/>
    <mergeCell ref="C146:C148"/>
    <mergeCell ref="AJ146:AJ148"/>
    <mergeCell ref="AK146:AK148"/>
    <mergeCell ref="AL146:AL148"/>
    <mergeCell ref="AM146:AM148"/>
    <mergeCell ref="AN146:AN148"/>
    <mergeCell ref="AO146:AO148"/>
    <mergeCell ref="AP140:AP142"/>
    <mergeCell ref="A143:A145"/>
    <mergeCell ref="B143:B145"/>
    <mergeCell ref="C143:C145"/>
    <mergeCell ref="AJ143:AJ145"/>
    <mergeCell ref="AK143:AK145"/>
    <mergeCell ref="AL143:AL145"/>
    <mergeCell ref="AM143:AM145"/>
    <mergeCell ref="AN143:AN145"/>
    <mergeCell ref="AO143:AO145"/>
    <mergeCell ref="AP143:AP145"/>
    <mergeCell ref="A140:A142"/>
    <mergeCell ref="B140:B142"/>
    <mergeCell ref="C140:C142"/>
    <mergeCell ref="AJ140:AJ142"/>
    <mergeCell ref="AK140:AK142"/>
    <mergeCell ref="AL140:AL142"/>
    <mergeCell ref="AM140:AM142"/>
    <mergeCell ref="AN140:AN142"/>
    <mergeCell ref="AO140:AO142"/>
    <mergeCell ref="AP134:AP136"/>
    <mergeCell ref="A137:A139"/>
    <mergeCell ref="B137:B139"/>
    <mergeCell ref="C137:C139"/>
    <mergeCell ref="AJ137:AJ139"/>
    <mergeCell ref="AK137:AK139"/>
    <mergeCell ref="AL137:AL139"/>
    <mergeCell ref="AM137:AM139"/>
    <mergeCell ref="AN137:AN139"/>
    <mergeCell ref="AO137:AO139"/>
    <mergeCell ref="AP137:AP139"/>
    <mergeCell ref="A134:A136"/>
    <mergeCell ref="B134:B136"/>
    <mergeCell ref="C134:C136"/>
    <mergeCell ref="AJ134:AJ136"/>
    <mergeCell ref="AK134:AK136"/>
    <mergeCell ref="AL134:AL136"/>
    <mergeCell ref="AM134:AM136"/>
    <mergeCell ref="AN134:AN136"/>
    <mergeCell ref="AO134:AO136"/>
    <mergeCell ref="AP128:AP130"/>
    <mergeCell ref="A131:A133"/>
    <mergeCell ref="B131:B133"/>
    <mergeCell ref="C131:C133"/>
    <mergeCell ref="AJ131:AJ133"/>
    <mergeCell ref="AK131:AK133"/>
    <mergeCell ref="AL131:AL133"/>
    <mergeCell ref="AM131:AM133"/>
    <mergeCell ref="AN131:AN133"/>
    <mergeCell ref="AO131:AO133"/>
    <mergeCell ref="AP131:AP133"/>
    <mergeCell ref="A128:A130"/>
    <mergeCell ref="B128:B130"/>
    <mergeCell ref="C128:C130"/>
    <mergeCell ref="AJ128:AJ130"/>
    <mergeCell ref="AK128:AK130"/>
    <mergeCell ref="AL128:AL130"/>
    <mergeCell ref="AM128:AM130"/>
    <mergeCell ref="AN128:AN130"/>
    <mergeCell ref="AO128:AO130"/>
    <mergeCell ref="AP122:AP124"/>
    <mergeCell ref="A125:A127"/>
    <mergeCell ref="B125:B127"/>
    <mergeCell ref="C125:C127"/>
    <mergeCell ref="AJ125:AJ127"/>
    <mergeCell ref="AK125:AK127"/>
    <mergeCell ref="AL125:AL127"/>
    <mergeCell ref="AM125:AM127"/>
    <mergeCell ref="AN125:AN127"/>
    <mergeCell ref="AO125:AO127"/>
    <mergeCell ref="AP125:AP127"/>
    <mergeCell ref="A122:A124"/>
    <mergeCell ref="B122:B124"/>
    <mergeCell ref="C122:C124"/>
    <mergeCell ref="AJ122:AJ124"/>
    <mergeCell ref="AK122:AK124"/>
    <mergeCell ref="AL122:AL124"/>
    <mergeCell ref="AM122:AM124"/>
    <mergeCell ref="AN122:AN124"/>
    <mergeCell ref="AO122:AO124"/>
    <mergeCell ref="AP116:AP118"/>
    <mergeCell ref="A119:A121"/>
    <mergeCell ref="B119:B121"/>
    <mergeCell ref="C119:C121"/>
    <mergeCell ref="AJ119:AJ121"/>
    <mergeCell ref="AK119:AK121"/>
    <mergeCell ref="AL119:AL121"/>
    <mergeCell ref="AM119:AM121"/>
    <mergeCell ref="AN119:AN121"/>
    <mergeCell ref="AO119:AO121"/>
    <mergeCell ref="AP119:AP121"/>
    <mergeCell ref="A116:A118"/>
    <mergeCell ref="B116:B118"/>
    <mergeCell ref="C116:C118"/>
    <mergeCell ref="AJ116:AJ118"/>
    <mergeCell ref="AK116:AK118"/>
    <mergeCell ref="AL116:AL118"/>
    <mergeCell ref="AM116:AM118"/>
    <mergeCell ref="AN116:AN118"/>
    <mergeCell ref="AO116:AO118"/>
    <mergeCell ref="AP110:AP112"/>
    <mergeCell ref="A113:A115"/>
    <mergeCell ref="B113:B115"/>
    <mergeCell ref="C113:C115"/>
    <mergeCell ref="AJ113:AJ115"/>
    <mergeCell ref="AK113:AK115"/>
    <mergeCell ref="AL113:AL115"/>
    <mergeCell ref="AM113:AM115"/>
    <mergeCell ref="AN113:AN115"/>
    <mergeCell ref="AO113:AO115"/>
    <mergeCell ref="AP113:AP115"/>
    <mergeCell ref="A110:A112"/>
    <mergeCell ref="B110:B112"/>
    <mergeCell ref="C110:C112"/>
    <mergeCell ref="AJ110:AJ112"/>
    <mergeCell ref="AK110:AK112"/>
    <mergeCell ref="AL110:AL112"/>
    <mergeCell ref="AM110:AM112"/>
    <mergeCell ref="AN110:AN112"/>
    <mergeCell ref="AO110:AO112"/>
    <mergeCell ref="AP104:AP106"/>
    <mergeCell ref="A107:A109"/>
    <mergeCell ref="B107:B109"/>
    <mergeCell ref="C107:C109"/>
    <mergeCell ref="AJ107:AJ109"/>
    <mergeCell ref="AK107:AK109"/>
    <mergeCell ref="AL107:AL109"/>
    <mergeCell ref="AM107:AM109"/>
    <mergeCell ref="AN107:AN109"/>
    <mergeCell ref="AO107:AO109"/>
    <mergeCell ref="AP107:AP109"/>
    <mergeCell ref="A104:A106"/>
    <mergeCell ref="B104:B106"/>
    <mergeCell ref="C104:C106"/>
    <mergeCell ref="AJ104:AJ106"/>
    <mergeCell ref="AK104:AK106"/>
    <mergeCell ref="AL104:AL106"/>
    <mergeCell ref="AM104:AM106"/>
    <mergeCell ref="AN104:AN106"/>
    <mergeCell ref="AO104:AO106"/>
    <mergeCell ref="AP98:AP100"/>
    <mergeCell ref="A101:A103"/>
    <mergeCell ref="B101:B103"/>
    <mergeCell ref="C101:C103"/>
    <mergeCell ref="AJ101:AJ103"/>
    <mergeCell ref="AK101:AK103"/>
    <mergeCell ref="AL101:AL103"/>
    <mergeCell ref="AM101:AM103"/>
    <mergeCell ref="AN101:AN103"/>
    <mergeCell ref="AO101:AO103"/>
    <mergeCell ref="AP101:AP103"/>
    <mergeCell ref="A98:A100"/>
    <mergeCell ref="B98:B100"/>
    <mergeCell ref="C98:C100"/>
    <mergeCell ref="AJ98:AJ100"/>
    <mergeCell ref="AK98:AK100"/>
    <mergeCell ref="AL98:AL100"/>
    <mergeCell ref="AM98:AM100"/>
    <mergeCell ref="AN98:AN100"/>
    <mergeCell ref="AO98:AO100"/>
    <mergeCell ref="AP92:AP94"/>
    <mergeCell ref="A95:A97"/>
    <mergeCell ref="B95:B97"/>
    <mergeCell ref="C95:C97"/>
    <mergeCell ref="AJ95:AJ97"/>
    <mergeCell ref="AK95:AK97"/>
    <mergeCell ref="AL95:AL97"/>
    <mergeCell ref="AM95:AM97"/>
    <mergeCell ref="AN95:AN97"/>
    <mergeCell ref="AO95:AO97"/>
    <mergeCell ref="AP95:AP97"/>
    <mergeCell ref="A92:A94"/>
    <mergeCell ref="B92:B94"/>
    <mergeCell ref="C92:C94"/>
    <mergeCell ref="AJ92:AJ94"/>
    <mergeCell ref="AK92:AK94"/>
    <mergeCell ref="AL92:AL94"/>
    <mergeCell ref="AM92:AM94"/>
    <mergeCell ref="AN92:AN94"/>
    <mergeCell ref="AO92:AO94"/>
    <mergeCell ref="AP86:AP88"/>
    <mergeCell ref="A89:A91"/>
    <mergeCell ref="B89:B91"/>
    <mergeCell ref="C89:C91"/>
    <mergeCell ref="AJ89:AJ91"/>
    <mergeCell ref="AK89:AK91"/>
    <mergeCell ref="AL89:AL91"/>
    <mergeCell ref="AM89:AM91"/>
    <mergeCell ref="AN89:AN91"/>
    <mergeCell ref="AO89:AO91"/>
    <mergeCell ref="AP89:AP91"/>
    <mergeCell ref="A86:A88"/>
    <mergeCell ref="B86:B88"/>
    <mergeCell ref="C86:C88"/>
    <mergeCell ref="AJ86:AJ88"/>
    <mergeCell ref="AK86:AK88"/>
    <mergeCell ref="AL86:AL88"/>
    <mergeCell ref="AM86:AM88"/>
    <mergeCell ref="AN86:AN88"/>
    <mergeCell ref="AO86:AO88"/>
    <mergeCell ref="AP80:AP82"/>
    <mergeCell ref="A83:A85"/>
    <mergeCell ref="B83:B85"/>
    <mergeCell ref="C83:C85"/>
    <mergeCell ref="AJ83:AJ85"/>
    <mergeCell ref="AK83:AK85"/>
    <mergeCell ref="AL83:AL85"/>
    <mergeCell ref="AM83:AM85"/>
    <mergeCell ref="AN83:AN85"/>
    <mergeCell ref="AO83:AO85"/>
    <mergeCell ref="AP83:AP85"/>
    <mergeCell ref="A80:A82"/>
    <mergeCell ref="B80:B82"/>
    <mergeCell ref="C80:C82"/>
    <mergeCell ref="AJ80:AJ82"/>
    <mergeCell ref="AK80:AK82"/>
    <mergeCell ref="AL80:AL82"/>
    <mergeCell ref="AM80:AM82"/>
    <mergeCell ref="AN80:AN82"/>
    <mergeCell ref="AO80:AO82"/>
    <mergeCell ref="AP74:AP76"/>
    <mergeCell ref="A77:A79"/>
    <mergeCell ref="B77:B79"/>
    <mergeCell ref="C77:C79"/>
    <mergeCell ref="AJ77:AJ79"/>
    <mergeCell ref="AK77:AK79"/>
    <mergeCell ref="AL77:AL79"/>
    <mergeCell ref="AM77:AM79"/>
    <mergeCell ref="AN77:AN79"/>
    <mergeCell ref="AO77:AO79"/>
    <mergeCell ref="AP77:AP79"/>
    <mergeCell ref="A74:A76"/>
    <mergeCell ref="B74:B76"/>
    <mergeCell ref="C74:C76"/>
    <mergeCell ref="AJ74:AJ76"/>
    <mergeCell ref="AK74:AK76"/>
    <mergeCell ref="AL74:AL76"/>
    <mergeCell ref="AM74:AM76"/>
    <mergeCell ref="AN74:AN76"/>
    <mergeCell ref="AO74:AO76"/>
    <mergeCell ref="AP68:AP70"/>
    <mergeCell ref="A71:A73"/>
    <mergeCell ref="B71:B73"/>
    <mergeCell ref="C71:C73"/>
    <mergeCell ref="AJ71:AJ73"/>
    <mergeCell ref="AK71:AK73"/>
    <mergeCell ref="AL71:AL73"/>
    <mergeCell ref="AM71:AM73"/>
    <mergeCell ref="AN71:AN73"/>
    <mergeCell ref="AO71:AO73"/>
    <mergeCell ref="AP71:AP73"/>
    <mergeCell ref="A68:A70"/>
    <mergeCell ref="B68:B70"/>
    <mergeCell ref="C68:C70"/>
    <mergeCell ref="AJ68:AJ70"/>
    <mergeCell ref="AK68:AK70"/>
    <mergeCell ref="AL68:AL70"/>
    <mergeCell ref="AM68:AM70"/>
    <mergeCell ref="AN68:AN70"/>
    <mergeCell ref="AO68:AO70"/>
    <mergeCell ref="AP62:AP64"/>
    <mergeCell ref="A65:A67"/>
    <mergeCell ref="B65:B67"/>
    <mergeCell ref="C65:C67"/>
    <mergeCell ref="AJ65:AJ67"/>
    <mergeCell ref="AK65:AK67"/>
    <mergeCell ref="AL65:AL67"/>
    <mergeCell ref="AM65:AM67"/>
    <mergeCell ref="AN65:AN67"/>
    <mergeCell ref="AO65:AO67"/>
    <mergeCell ref="AP65:AP67"/>
    <mergeCell ref="A62:A64"/>
    <mergeCell ref="B62:B64"/>
    <mergeCell ref="C62:C64"/>
    <mergeCell ref="AJ62:AJ64"/>
    <mergeCell ref="AK62:AK64"/>
    <mergeCell ref="AL62:AL64"/>
    <mergeCell ref="AM62:AM64"/>
    <mergeCell ref="AN62:AN64"/>
    <mergeCell ref="AO62:AO64"/>
    <mergeCell ref="AP56:AP58"/>
    <mergeCell ref="A59:A61"/>
    <mergeCell ref="B59:B61"/>
    <mergeCell ref="C59:C61"/>
    <mergeCell ref="AJ59:AJ61"/>
    <mergeCell ref="AK59:AK61"/>
    <mergeCell ref="AL59:AL61"/>
    <mergeCell ref="AM59:AM61"/>
    <mergeCell ref="AN59:AN61"/>
    <mergeCell ref="AO59:AO61"/>
    <mergeCell ref="AP59:AP61"/>
    <mergeCell ref="A56:A58"/>
    <mergeCell ref="B56:B58"/>
    <mergeCell ref="C56:C58"/>
    <mergeCell ref="AJ56:AJ58"/>
    <mergeCell ref="AK56:AK58"/>
    <mergeCell ref="AL56:AL58"/>
    <mergeCell ref="AM56:AM58"/>
    <mergeCell ref="AN56:AN58"/>
    <mergeCell ref="AO56:AO58"/>
    <mergeCell ref="AP50:AP52"/>
    <mergeCell ref="A53:A55"/>
    <mergeCell ref="B53:B55"/>
    <mergeCell ref="C53:C55"/>
    <mergeCell ref="AJ53:AJ55"/>
    <mergeCell ref="AK53:AK55"/>
    <mergeCell ref="AL53:AL55"/>
    <mergeCell ref="AM53:AM55"/>
    <mergeCell ref="AN53:AN55"/>
    <mergeCell ref="AO53:AO55"/>
    <mergeCell ref="AP53:AP55"/>
    <mergeCell ref="A50:A52"/>
    <mergeCell ref="B50:B52"/>
    <mergeCell ref="C50:C52"/>
    <mergeCell ref="AJ50:AJ52"/>
    <mergeCell ref="AK50:AK52"/>
    <mergeCell ref="AL50:AL52"/>
    <mergeCell ref="AM50:AM52"/>
    <mergeCell ref="AN50:AN52"/>
    <mergeCell ref="AO50:AO52"/>
    <mergeCell ref="AP44:AP46"/>
    <mergeCell ref="A47:A49"/>
    <mergeCell ref="B47:B49"/>
    <mergeCell ref="C47:C49"/>
    <mergeCell ref="AJ47:AJ49"/>
    <mergeCell ref="AK47:AK49"/>
    <mergeCell ref="AL47:AL49"/>
    <mergeCell ref="AM47:AM49"/>
    <mergeCell ref="AN47:AN49"/>
    <mergeCell ref="AO47:AO49"/>
    <mergeCell ref="AP47:AP49"/>
    <mergeCell ref="A44:A46"/>
    <mergeCell ref="B44:B46"/>
    <mergeCell ref="C44:C46"/>
    <mergeCell ref="AJ44:AJ46"/>
    <mergeCell ref="AK44:AK46"/>
    <mergeCell ref="AL44:AL46"/>
    <mergeCell ref="AM44:AM46"/>
    <mergeCell ref="AN44:AN46"/>
    <mergeCell ref="AO44:AO46"/>
    <mergeCell ref="AP38:AP40"/>
    <mergeCell ref="A41:A43"/>
    <mergeCell ref="B41:B43"/>
    <mergeCell ref="C41:C43"/>
    <mergeCell ref="AJ41:AJ43"/>
    <mergeCell ref="AK41:AK43"/>
    <mergeCell ref="AL41:AL43"/>
    <mergeCell ref="AM41:AM43"/>
    <mergeCell ref="AN41:AN43"/>
    <mergeCell ref="AO41:AO43"/>
    <mergeCell ref="AP41:AP43"/>
    <mergeCell ref="A38:A40"/>
    <mergeCell ref="B38:B40"/>
    <mergeCell ref="C38:C40"/>
    <mergeCell ref="AJ38:AJ40"/>
    <mergeCell ref="AK38:AK40"/>
    <mergeCell ref="AL38:AL40"/>
    <mergeCell ref="AM38:AM40"/>
    <mergeCell ref="AN38:AN40"/>
    <mergeCell ref="AO38:AO40"/>
    <mergeCell ref="AP32:AP34"/>
    <mergeCell ref="A35:A37"/>
    <mergeCell ref="B35:B37"/>
    <mergeCell ref="C35:C37"/>
    <mergeCell ref="AJ35:AJ37"/>
    <mergeCell ref="AK35:AK37"/>
    <mergeCell ref="AL35:AL37"/>
    <mergeCell ref="AM35:AM37"/>
    <mergeCell ref="AN35:AN37"/>
    <mergeCell ref="AO35:AO37"/>
    <mergeCell ref="AP35:AP37"/>
    <mergeCell ref="A32:A34"/>
    <mergeCell ref="B32:B34"/>
    <mergeCell ref="C32:C34"/>
    <mergeCell ref="AJ32:AJ34"/>
    <mergeCell ref="AK32:AK34"/>
    <mergeCell ref="AL32:AL34"/>
    <mergeCell ref="AM32:AM34"/>
    <mergeCell ref="AN32:AN34"/>
    <mergeCell ref="AO32:AO34"/>
    <mergeCell ref="AP26:AP28"/>
    <mergeCell ref="A29:A31"/>
    <mergeCell ref="B29:B31"/>
    <mergeCell ref="C29:C31"/>
    <mergeCell ref="AJ29:AJ31"/>
    <mergeCell ref="AK29:AK31"/>
    <mergeCell ref="AL29:AL31"/>
    <mergeCell ref="AM29:AM31"/>
    <mergeCell ref="AN29:AN31"/>
    <mergeCell ref="AO29:AO31"/>
    <mergeCell ref="AP29:AP31"/>
    <mergeCell ref="A26:A28"/>
    <mergeCell ref="B26:B28"/>
    <mergeCell ref="C26:C28"/>
    <mergeCell ref="AJ26:AJ28"/>
    <mergeCell ref="AK26:AK28"/>
    <mergeCell ref="AL26:AL28"/>
    <mergeCell ref="AM26:AM28"/>
    <mergeCell ref="AN26:AN28"/>
    <mergeCell ref="AO26:AO28"/>
    <mergeCell ref="AP20:AP22"/>
    <mergeCell ref="A23:A25"/>
    <mergeCell ref="B23:B25"/>
    <mergeCell ref="C23:C25"/>
    <mergeCell ref="AJ23:AJ25"/>
    <mergeCell ref="AK23:AK25"/>
    <mergeCell ref="AL23:AL25"/>
    <mergeCell ref="AM23:AM25"/>
    <mergeCell ref="AN23:AN25"/>
    <mergeCell ref="AO23:AO25"/>
    <mergeCell ref="AP23:AP25"/>
    <mergeCell ref="A20:A22"/>
    <mergeCell ref="B20:B22"/>
    <mergeCell ref="C20:C22"/>
    <mergeCell ref="AJ20:AJ22"/>
    <mergeCell ref="AK20:AK22"/>
    <mergeCell ref="AL20:AL22"/>
    <mergeCell ref="AM20:AM22"/>
    <mergeCell ref="AN20:AN22"/>
    <mergeCell ref="AO20:AO22"/>
    <mergeCell ref="AP14:AP16"/>
    <mergeCell ref="A17:A19"/>
    <mergeCell ref="B17:B19"/>
    <mergeCell ref="C17:C19"/>
    <mergeCell ref="AJ17:AJ19"/>
    <mergeCell ref="AK17:AK19"/>
    <mergeCell ref="AL17:AL19"/>
    <mergeCell ref="AM17:AM19"/>
    <mergeCell ref="AN17:AN19"/>
    <mergeCell ref="AO17:AO19"/>
    <mergeCell ref="AP17:AP19"/>
    <mergeCell ref="A14:A16"/>
    <mergeCell ref="B14:B16"/>
    <mergeCell ref="C14:C16"/>
    <mergeCell ref="AJ14:AJ16"/>
    <mergeCell ref="AK14:AK16"/>
    <mergeCell ref="AL14:AL16"/>
    <mergeCell ref="AM14:AM16"/>
    <mergeCell ref="AN14:AN16"/>
    <mergeCell ref="AO14:AO16"/>
    <mergeCell ref="AP8:AP10"/>
    <mergeCell ref="A11:A13"/>
    <mergeCell ref="B11:B13"/>
    <mergeCell ref="C11:C13"/>
    <mergeCell ref="AJ11:AJ13"/>
    <mergeCell ref="AK11:AK13"/>
    <mergeCell ref="AL11:AL13"/>
    <mergeCell ref="AM11:AM13"/>
    <mergeCell ref="AN11:AN13"/>
    <mergeCell ref="AO11:AO13"/>
    <mergeCell ref="AP11:AP13"/>
    <mergeCell ref="A8:A10"/>
    <mergeCell ref="B8:B10"/>
    <mergeCell ref="C8:C10"/>
    <mergeCell ref="AJ8:AJ10"/>
    <mergeCell ref="AK8:AK10"/>
    <mergeCell ref="AL8:AL10"/>
    <mergeCell ref="AM8:AM10"/>
    <mergeCell ref="AN8:AN10"/>
    <mergeCell ref="AO8:AO10"/>
    <mergeCell ref="A1:U1"/>
    <mergeCell ref="A2:U2"/>
    <mergeCell ref="A3:A4"/>
    <mergeCell ref="B3:B4"/>
    <mergeCell ref="C3:C4"/>
    <mergeCell ref="D3:D4"/>
    <mergeCell ref="E3:AI3"/>
    <mergeCell ref="AP3:AP4"/>
    <mergeCell ref="A5:A7"/>
    <mergeCell ref="B5:B7"/>
    <mergeCell ref="C5:C7"/>
    <mergeCell ref="AJ5:AJ7"/>
    <mergeCell ref="AK5:AK7"/>
    <mergeCell ref="AL5:AL7"/>
    <mergeCell ref="AM5:AM7"/>
    <mergeCell ref="AN5:AN7"/>
    <mergeCell ref="AO5:AO7"/>
    <mergeCell ref="AJ3:AJ4"/>
    <mergeCell ref="AK3:AK4"/>
    <mergeCell ref="AL3:AL4"/>
    <mergeCell ref="AM3:AM4"/>
    <mergeCell ref="AN3:AN4"/>
    <mergeCell ref="AO3:AO4"/>
    <mergeCell ref="AP5:AP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384D-8DBA-48C9-9F14-C23C1847F871}">
  <dimension ref="A1:AP241"/>
  <sheetViews>
    <sheetView zoomScale="116" zoomScaleNormal="100" workbookViewId="0">
      <pane xSplit="3" ySplit="4" topLeftCell="D5" activePane="bottomRight" state="frozen"/>
      <selection pane="topRight"/>
      <selection pane="bottomLeft"/>
      <selection pane="bottomRight" activeCell="D6" sqref="D6"/>
    </sheetView>
  </sheetViews>
  <sheetFormatPr baseColWidth="10" defaultColWidth="9" defaultRowHeight="15"/>
  <cols>
    <col min="1" max="1" width="6.83203125" style="16" customWidth="1"/>
    <col min="2" max="2" width="18.33203125" style="16" customWidth="1"/>
    <col min="3" max="3" width="8.33203125" style="16" customWidth="1"/>
    <col min="4" max="4" width="6.6640625" style="16" customWidth="1"/>
    <col min="5" max="35" width="4.1640625" style="16" customWidth="1"/>
    <col min="36" max="36" width="8.83203125" style="16" customWidth="1"/>
    <col min="37" max="37" width="7.83203125" style="17" customWidth="1"/>
    <col min="38" max="38" width="13.83203125" style="18" customWidth="1"/>
    <col min="39" max="39" width="13.5" style="18" customWidth="1"/>
    <col min="40" max="40" width="17.33203125" style="18" customWidth="1"/>
    <col min="41" max="41" width="16.1640625" style="18" customWidth="1"/>
    <col min="42" max="42" width="20.5" style="18" customWidth="1"/>
  </cols>
  <sheetData>
    <row r="1" spans="1:42" ht="2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1"/>
      <c r="W1" s="1"/>
      <c r="X1" s="1"/>
      <c r="Y1" s="2" t="s">
        <v>1</v>
      </c>
      <c r="Z1" s="3"/>
      <c r="AA1" s="3"/>
      <c r="AB1" s="3"/>
      <c r="AC1" s="2" t="s">
        <v>83</v>
      </c>
      <c r="AD1" s="3"/>
      <c r="AE1" s="1"/>
      <c r="AF1" s="4"/>
      <c r="AG1" s="4"/>
      <c r="AH1" s="4"/>
      <c r="AI1" s="4"/>
      <c r="AJ1" s="4"/>
      <c r="AK1" s="5"/>
      <c r="AL1" s="6"/>
      <c r="AM1" s="6"/>
      <c r="AN1" s="6"/>
      <c r="AO1" s="6"/>
      <c r="AP1" s="6"/>
    </row>
    <row r="2" spans="1:42" ht="21">
      <c r="A2" s="72" t="s">
        <v>85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"/>
      <c r="W2" s="1"/>
      <c r="X2" s="1"/>
      <c r="Y2" s="2" t="s">
        <v>4</v>
      </c>
      <c r="Z2" s="3"/>
      <c r="AA2" s="3"/>
      <c r="AB2" s="3"/>
      <c r="AC2" s="2" t="s">
        <v>84</v>
      </c>
      <c r="AD2" s="3"/>
      <c r="AE2" s="1"/>
      <c r="AF2" s="4"/>
      <c r="AG2" s="4"/>
      <c r="AH2" s="4"/>
      <c r="AI2" s="4"/>
      <c r="AJ2" s="4"/>
      <c r="AK2" s="5"/>
      <c r="AL2" s="6"/>
      <c r="AM2" s="6"/>
      <c r="AN2" s="6"/>
      <c r="AO2" s="6"/>
      <c r="AP2" s="6"/>
    </row>
    <row r="3" spans="1:42">
      <c r="A3" s="52" t="s">
        <v>5</v>
      </c>
      <c r="B3" s="52" t="s">
        <v>6</v>
      </c>
      <c r="C3" s="69" t="s">
        <v>7</v>
      </c>
      <c r="D3" s="69" t="s">
        <v>8</v>
      </c>
      <c r="E3" s="74" t="s">
        <v>9</v>
      </c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69" t="s">
        <v>10</v>
      </c>
      <c r="AK3" s="52" t="s">
        <v>11</v>
      </c>
      <c r="AL3" s="50" t="s">
        <v>12</v>
      </c>
      <c r="AM3" s="50" t="s">
        <v>13</v>
      </c>
      <c r="AN3" s="50" t="s">
        <v>14</v>
      </c>
      <c r="AO3" s="50" t="s">
        <v>11</v>
      </c>
      <c r="AP3" s="50" t="s">
        <v>15</v>
      </c>
    </row>
    <row r="4" spans="1:42">
      <c r="A4" s="53"/>
      <c r="B4" s="53"/>
      <c r="C4" s="70"/>
      <c r="D4" s="70"/>
      <c r="E4" s="8">
        <v>1</v>
      </c>
      <c r="F4" s="8">
        <v>2</v>
      </c>
      <c r="G4" s="8">
        <v>3</v>
      </c>
      <c r="H4" s="8">
        <v>4</v>
      </c>
      <c r="I4" s="8">
        <v>5</v>
      </c>
      <c r="J4" s="8">
        <v>6</v>
      </c>
      <c r="K4" s="8">
        <v>7</v>
      </c>
      <c r="L4" s="8">
        <v>8</v>
      </c>
      <c r="M4" s="8">
        <v>9</v>
      </c>
      <c r="N4" s="8">
        <v>10</v>
      </c>
      <c r="O4" s="8">
        <v>11</v>
      </c>
      <c r="P4" s="8">
        <v>12</v>
      </c>
      <c r="Q4" s="8">
        <v>13</v>
      </c>
      <c r="R4" s="8">
        <v>14</v>
      </c>
      <c r="S4" s="8">
        <v>15</v>
      </c>
      <c r="T4" s="8">
        <v>16</v>
      </c>
      <c r="U4" s="8">
        <v>17</v>
      </c>
      <c r="V4" s="8">
        <v>18</v>
      </c>
      <c r="W4" s="8">
        <v>19</v>
      </c>
      <c r="X4" s="8">
        <v>20</v>
      </c>
      <c r="Y4" s="8">
        <v>21</v>
      </c>
      <c r="Z4" s="8">
        <v>22</v>
      </c>
      <c r="AA4" s="8">
        <v>23</v>
      </c>
      <c r="AB4" s="8">
        <v>24</v>
      </c>
      <c r="AC4" s="8">
        <v>25</v>
      </c>
      <c r="AD4" s="8">
        <v>26</v>
      </c>
      <c r="AE4" s="8">
        <v>27</v>
      </c>
      <c r="AF4" s="8">
        <v>28</v>
      </c>
      <c r="AG4" s="8">
        <v>29</v>
      </c>
      <c r="AH4" s="8">
        <v>30</v>
      </c>
      <c r="AI4" s="8">
        <v>31</v>
      </c>
      <c r="AJ4" s="70"/>
      <c r="AK4" s="53"/>
      <c r="AL4" s="51"/>
      <c r="AM4" s="51"/>
      <c r="AN4" s="51"/>
      <c r="AO4" s="51"/>
      <c r="AP4" s="51"/>
    </row>
    <row r="5" spans="1:42">
      <c r="A5" s="39">
        <v>1</v>
      </c>
      <c r="B5" s="39"/>
      <c r="C5" s="42" t="s">
        <v>24</v>
      </c>
      <c r="D5" s="10" t="s">
        <v>18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39">
        <f>COUNTIFS(E5:AI6,"✓")/2</f>
        <v>0</v>
      </c>
      <c r="AK5" s="39">
        <f>SUM(O7:AG7)</f>
        <v>0</v>
      </c>
      <c r="AL5" s="44">
        <v>300000</v>
      </c>
      <c r="AM5" s="44">
        <v>30000</v>
      </c>
      <c r="AN5" s="44">
        <f>AL5*AJ5</f>
        <v>0</v>
      </c>
      <c r="AO5" s="44">
        <f>AM5*AK5</f>
        <v>0</v>
      </c>
      <c r="AP5" s="44">
        <f>AL5*AJ5+AM5*AK5</f>
        <v>0</v>
      </c>
    </row>
    <row r="6" spans="1:42">
      <c r="A6" s="40"/>
      <c r="B6" s="40"/>
      <c r="C6" s="43"/>
      <c r="D6" s="10" t="s">
        <v>20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40"/>
      <c r="AK6" s="40"/>
      <c r="AL6" s="45"/>
      <c r="AM6" s="45"/>
      <c r="AN6" s="45"/>
      <c r="AO6" s="45"/>
      <c r="AP6" s="45"/>
    </row>
    <row r="7" spans="1:42">
      <c r="A7" s="40"/>
      <c r="B7" s="40"/>
      <c r="C7" s="43"/>
      <c r="D7" s="12" t="s">
        <v>21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40"/>
      <c r="AK7" s="40"/>
      <c r="AL7" s="46"/>
      <c r="AM7" s="46"/>
      <c r="AN7" s="46"/>
      <c r="AO7" s="46"/>
      <c r="AP7" s="46"/>
    </row>
    <row r="8" spans="1:42">
      <c r="A8" s="39">
        <f>A5+1</f>
        <v>2</v>
      </c>
      <c r="B8" s="39"/>
      <c r="C8" s="42" t="s">
        <v>24</v>
      </c>
      <c r="D8" s="10" t="s">
        <v>18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39">
        <f>COUNTIFS(E8:AI9,"✓")/2</f>
        <v>0</v>
      </c>
      <c r="AK8" s="39">
        <f>SUM(O10:AG10)</f>
        <v>0</v>
      </c>
      <c r="AL8" s="44">
        <v>300000</v>
      </c>
      <c r="AM8" s="44">
        <v>30000</v>
      </c>
      <c r="AN8" s="44">
        <f>AL8*AJ8</f>
        <v>0</v>
      </c>
      <c r="AO8" s="44">
        <f>AM8*AK8</f>
        <v>0</v>
      </c>
      <c r="AP8" s="44">
        <f t="shared" ref="AP8" si="0">AL8*AJ8+AM8*AK8</f>
        <v>0</v>
      </c>
    </row>
    <row r="9" spans="1:42">
      <c r="A9" s="40"/>
      <c r="B9" s="40"/>
      <c r="C9" s="43"/>
      <c r="D9" s="10" t="s">
        <v>20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40"/>
      <c r="AK9" s="40"/>
      <c r="AL9" s="45"/>
      <c r="AM9" s="45"/>
      <c r="AN9" s="45"/>
      <c r="AO9" s="45"/>
      <c r="AP9" s="45"/>
    </row>
    <row r="10" spans="1:42">
      <c r="A10" s="40"/>
      <c r="B10" s="40"/>
      <c r="C10" s="43"/>
      <c r="D10" s="12" t="s">
        <v>21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40"/>
      <c r="AK10" s="40"/>
      <c r="AL10" s="46"/>
      <c r="AM10" s="46"/>
      <c r="AN10" s="46"/>
      <c r="AO10" s="46"/>
      <c r="AP10" s="46"/>
    </row>
    <row r="11" spans="1:42">
      <c r="A11" s="39">
        <f>A8+1</f>
        <v>3</v>
      </c>
      <c r="B11" s="39"/>
      <c r="C11" s="42" t="s">
        <v>24</v>
      </c>
      <c r="D11" s="10" t="s">
        <v>18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39">
        <f>COUNTIFS(E11:AI12,"✓")/2</f>
        <v>0</v>
      </c>
      <c r="AK11" s="39">
        <f t="shared" ref="AK11" si="1">SUM(O13:AG13)</f>
        <v>0</v>
      </c>
      <c r="AL11" s="44">
        <v>300000</v>
      </c>
      <c r="AM11" s="44">
        <v>30000</v>
      </c>
      <c r="AN11" s="44">
        <f>AL11*AJ11</f>
        <v>0</v>
      </c>
      <c r="AO11" s="44">
        <f>AM11*AK11</f>
        <v>0</v>
      </c>
      <c r="AP11" s="44">
        <f t="shared" ref="AP11" si="2">AL11*AJ11+AM11*AK11</f>
        <v>0</v>
      </c>
    </row>
    <row r="12" spans="1:42">
      <c r="A12" s="40"/>
      <c r="B12" s="40"/>
      <c r="C12" s="43"/>
      <c r="D12" s="10" t="s">
        <v>20</v>
      </c>
      <c r="E12" s="11"/>
      <c r="F12" s="11"/>
      <c r="G12" s="11"/>
      <c r="H12" s="11"/>
      <c r="I12" s="11"/>
      <c r="J12" s="11"/>
      <c r="K12" s="11"/>
      <c r="L12" s="11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40"/>
      <c r="AK12" s="40"/>
      <c r="AL12" s="45"/>
      <c r="AM12" s="45"/>
      <c r="AN12" s="45"/>
      <c r="AO12" s="45"/>
      <c r="AP12" s="45"/>
    </row>
    <row r="13" spans="1:42">
      <c r="A13" s="40"/>
      <c r="B13" s="40"/>
      <c r="C13" s="43"/>
      <c r="D13" s="12" t="s">
        <v>21</v>
      </c>
      <c r="E13" s="11"/>
      <c r="F13" s="11"/>
      <c r="G13" s="11"/>
      <c r="H13" s="11"/>
      <c r="I13" s="11"/>
      <c r="J13" s="11"/>
      <c r="K13" s="11"/>
      <c r="L13" s="11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40"/>
      <c r="AK13" s="40"/>
      <c r="AL13" s="46"/>
      <c r="AM13" s="46"/>
      <c r="AN13" s="46"/>
      <c r="AO13" s="46"/>
      <c r="AP13" s="46"/>
    </row>
    <row r="14" spans="1:42">
      <c r="A14" s="39">
        <f>A11+1</f>
        <v>4</v>
      </c>
      <c r="B14" s="39"/>
      <c r="C14" s="42" t="s">
        <v>24</v>
      </c>
      <c r="D14" s="10" t="s">
        <v>18</v>
      </c>
      <c r="E14" s="11"/>
      <c r="F14" s="11"/>
      <c r="G14" s="11"/>
      <c r="H14" s="11"/>
      <c r="I14" s="11"/>
      <c r="J14" s="11"/>
      <c r="K14" s="11"/>
      <c r="L14" s="11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39">
        <f>COUNTIFS(E14:AI15,"✓")/2</f>
        <v>0</v>
      </c>
      <c r="AK14" s="39">
        <f t="shared" ref="AK14" si="3">SUM(O16:AG16)</f>
        <v>0</v>
      </c>
      <c r="AL14" s="44">
        <v>300000</v>
      </c>
      <c r="AM14" s="44">
        <v>30000</v>
      </c>
      <c r="AN14" s="44">
        <f>AL14*AJ14</f>
        <v>0</v>
      </c>
      <c r="AO14" s="44">
        <f>AM14*AK14</f>
        <v>0</v>
      </c>
      <c r="AP14" s="44">
        <f t="shared" ref="AP14" si="4">AL14*AJ14+AM14*AK14</f>
        <v>0</v>
      </c>
    </row>
    <row r="15" spans="1:42">
      <c r="A15" s="40"/>
      <c r="B15" s="40"/>
      <c r="C15" s="43"/>
      <c r="D15" s="10" t="s">
        <v>20</v>
      </c>
      <c r="E15" s="11"/>
      <c r="F15" s="11"/>
      <c r="G15" s="11"/>
      <c r="H15" s="11"/>
      <c r="I15" s="11"/>
      <c r="J15" s="11"/>
      <c r="K15" s="11"/>
      <c r="L15" s="11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40"/>
      <c r="AK15" s="40"/>
      <c r="AL15" s="45"/>
      <c r="AM15" s="45"/>
      <c r="AN15" s="45"/>
      <c r="AO15" s="45"/>
      <c r="AP15" s="45"/>
    </row>
    <row r="16" spans="1:42">
      <c r="A16" s="40"/>
      <c r="B16" s="40"/>
      <c r="C16" s="43"/>
      <c r="D16" s="12" t="s">
        <v>21</v>
      </c>
      <c r="E16" s="11"/>
      <c r="F16" s="11"/>
      <c r="G16" s="11"/>
      <c r="H16" s="11"/>
      <c r="I16" s="11"/>
      <c r="J16" s="11"/>
      <c r="K16" s="11"/>
      <c r="L16" s="11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40"/>
      <c r="AK16" s="40"/>
      <c r="AL16" s="46"/>
      <c r="AM16" s="46"/>
      <c r="AN16" s="46"/>
      <c r="AO16" s="46"/>
      <c r="AP16" s="46"/>
    </row>
    <row r="17" spans="1:42">
      <c r="A17" s="39">
        <f>A14+1</f>
        <v>5</v>
      </c>
      <c r="B17" s="39"/>
      <c r="C17" s="42" t="s">
        <v>24</v>
      </c>
      <c r="D17" s="10" t="s">
        <v>18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39">
        <f>COUNTIFS(E17:AI18,"✓")/2</f>
        <v>0</v>
      </c>
      <c r="AK17" s="39">
        <f t="shared" ref="AK17" si="5">SUM(O19:AG19)</f>
        <v>0</v>
      </c>
      <c r="AL17" s="44">
        <v>350000</v>
      </c>
      <c r="AM17" s="44">
        <v>25000</v>
      </c>
      <c r="AN17" s="44">
        <f>AL17*AJ17</f>
        <v>0</v>
      </c>
      <c r="AO17" s="44">
        <f>AM17*AK17</f>
        <v>0</v>
      </c>
      <c r="AP17" s="44">
        <f t="shared" ref="AP17" si="6">AL17*AJ17+AM17*AK17</f>
        <v>0</v>
      </c>
    </row>
    <row r="18" spans="1:42">
      <c r="A18" s="40"/>
      <c r="B18" s="40"/>
      <c r="C18" s="43"/>
      <c r="D18" s="10" t="s">
        <v>20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40"/>
      <c r="AK18" s="40"/>
      <c r="AL18" s="45"/>
      <c r="AM18" s="45"/>
      <c r="AN18" s="45"/>
      <c r="AO18" s="45"/>
      <c r="AP18" s="45"/>
    </row>
    <row r="19" spans="1:42">
      <c r="A19" s="40"/>
      <c r="B19" s="40"/>
      <c r="C19" s="43"/>
      <c r="D19" s="12" t="s">
        <v>21</v>
      </c>
      <c r="E19" s="11"/>
      <c r="F19" s="11"/>
      <c r="G19" s="11"/>
      <c r="H19" s="11"/>
      <c r="I19" s="11"/>
      <c r="J19" s="11"/>
      <c r="K19" s="11"/>
      <c r="L19" s="11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40"/>
      <c r="AK19" s="40"/>
      <c r="AL19" s="46"/>
      <c r="AM19" s="46"/>
      <c r="AN19" s="46"/>
      <c r="AO19" s="46"/>
      <c r="AP19" s="46"/>
    </row>
    <row r="20" spans="1:42">
      <c r="A20" s="39">
        <f>A17+1</f>
        <v>6</v>
      </c>
      <c r="B20" s="39"/>
      <c r="C20" s="42" t="s">
        <v>17</v>
      </c>
      <c r="D20" s="10" t="s">
        <v>18</v>
      </c>
      <c r="E20" s="11"/>
      <c r="F20" s="11"/>
      <c r="G20" s="11"/>
      <c r="H20" s="11"/>
      <c r="I20" s="11"/>
      <c r="J20" s="11"/>
      <c r="K20" s="11"/>
      <c r="L20" s="11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39">
        <f>COUNTIFS(E20:AI21,"✓")/2</f>
        <v>0</v>
      </c>
      <c r="AK20" s="39">
        <f t="shared" ref="AK20" si="7">SUM(O22:AG22)</f>
        <v>0</v>
      </c>
      <c r="AL20" s="44">
        <v>230000</v>
      </c>
      <c r="AM20" s="44">
        <v>25000</v>
      </c>
      <c r="AN20" s="44">
        <f>AL20*AJ20</f>
        <v>0</v>
      </c>
      <c r="AO20" s="44">
        <f>AM20*AK20</f>
        <v>0</v>
      </c>
      <c r="AP20" s="44">
        <f t="shared" ref="AP20" si="8">AL20*AJ20+AM20*AK20</f>
        <v>0</v>
      </c>
    </row>
    <row r="21" spans="1:42">
      <c r="A21" s="40"/>
      <c r="B21" s="40"/>
      <c r="C21" s="43"/>
      <c r="D21" s="10" t="s">
        <v>20</v>
      </c>
      <c r="E21" s="11"/>
      <c r="F21" s="11"/>
      <c r="G21" s="11"/>
      <c r="H21" s="11"/>
      <c r="I21" s="11"/>
      <c r="J21" s="11"/>
      <c r="K21" s="11"/>
      <c r="L21" s="11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40"/>
      <c r="AK21" s="40"/>
      <c r="AL21" s="45"/>
      <c r="AM21" s="45"/>
      <c r="AN21" s="45"/>
      <c r="AO21" s="45"/>
      <c r="AP21" s="45"/>
    </row>
    <row r="22" spans="1:42">
      <c r="A22" s="40"/>
      <c r="B22" s="40"/>
      <c r="C22" s="43"/>
      <c r="D22" s="12" t="s">
        <v>21</v>
      </c>
      <c r="E22" s="11"/>
      <c r="F22" s="11"/>
      <c r="G22" s="11"/>
      <c r="H22" s="11"/>
      <c r="I22" s="11"/>
      <c r="J22" s="11"/>
      <c r="K22" s="11"/>
      <c r="L22" s="11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40"/>
      <c r="AK22" s="40"/>
      <c r="AL22" s="46"/>
      <c r="AM22" s="46"/>
      <c r="AN22" s="46"/>
      <c r="AO22" s="46"/>
      <c r="AP22" s="46"/>
    </row>
    <row r="23" spans="1:42">
      <c r="A23" s="39">
        <f>A20+1</f>
        <v>7</v>
      </c>
      <c r="B23" s="39"/>
      <c r="C23" s="42" t="s">
        <v>17</v>
      </c>
      <c r="D23" s="10" t="s">
        <v>18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0"/>
      <c r="P23" s="11"/>
      <c r="Q23" s="11"/>
      <c r="R23" s="10"/>
      <c r="S23" s="11"/>
      <c r="T23" s="11"/>
      <c r="U23" s="10"/>
      <c r="V23" s="11"/>
      <c r="W23" s="11"/>
      <c r="X23" s="10"/>
      <c r="Y23" s="11"/>
      <c r="Z23" s="11"/>
      <c r="AA23" s="10"/>
      <c r="AB23" s="11"/>
      <c r="AC23" s="11"/>
      <c r="AD23" s="10"/>
      <c r="AE23" s="11"/>
      <c r="AF23" s="11"/>
      <c r="AG23" s="10"/>
      <c r="AH23" s="11"/>
      <c r="AI23" s="11"/>
      <c r="AJ23" s="39">
        <f>COUNTIFS(E23:AI24,"✓")/2</f>
        <v>0</v>
      </c>
      <c r="AK23" s="39">
        <f t="shared" ref="AK23" si="9">SUM(O25:AG25)</f>
        <v>0</v>
      </c>
      <c r="AL23" s="44">
        <v>230000</v>
      </c>
      <c r="AM23" s="44">
        <v>25000</v>
      </c>
      <c r="AN23" s="44">
        <f>AL23*AJ23</f>
        <v>0</v>
      </c>
      <c r="AO23" s="44">
        <f>AM23*AK23</f>
        <v>0</v>
      </c>
      <c r="AP23" s="44">
        <f t="shared" ref="AP23" si="10">AL23*AJ23+AM23*AK23</f>
        <v>0</v>
      </c>
    </row>
    <row r="24" spans="1:42">
      <c r="A24" s="40"/>
      <c r="B24" s="40"/>
      <c r="C24" s="43"/>
      <c r="D24" s="10" t="s">
        <v>20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0"/>
      <c r="P24" s="11"/>
      <c r="Q24" s="11"/>
      <c r="R24" s="10"/>
      <c r="S24" s="11"/>
      <c r="T24" s="11"/>
      <c r="U24" s="10"/>
      <c r="V24" s="11"/>
      <c r="W24" s="11"/>
      <c r="X24" s="10"/>
      <c r="Y24" s="11"/>
      <c r="Z24" s="11"/>
      <c r="AA24" s="10"/>
      <c r="AB24" s="11"/>
      <c r="AC24" s="11"/>
      <c r="AD24" s="10"/>
      <c r="AE24" s="11"/>
      <c r="AF24" s="11"/>
      <c r="AG24" s="10"/>
      <c r="AH24" s="11"/>
      <c r="AI24" s="11"/>
      <c r="AJ24" s="40"/>
      <c r="AK24" s="40"/>
      <c r="AL24" s="45"/>
      <c r="AM24" s="45"/>
      <c r="AN24" s="45"/>
      <c r="AO24" s="45"/>
      <c r="AP24" s="45"/>
    </row>
    <row r="25" spans="1:42">
      <c r="A25" s="40"/>
      <c r="B25" s="40"/>
      <c r="C25" s="43"/>
      <c r="D25" s="12" t="s">
        <v>21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0"/>
      <c r="P25" s="11"/>
      <c r="Q25" s="11"/>
      <c r="R25" s="10"/>
      <c r="S25" s="11"/>
      <c r="T25" s="11"/>
      <c r="U25" s="10"/>
      <c r="V25" s="11"/>
      <c r="W25" s="11"/>
      <c r="X25" s="10"/>
      <c r="Y25" s="11"/>
      <c r="Z25" s="11"/>
      <c r="AA25" s="10"/>
      <c r="AB25" s="11"/>
      <c r="AC25" s="11"/>
      <c r="AD25" s="10"/>
      <c r="AE25" s="11"/>
      <c r="AF25" s="11"/>
      <c r="AG25" s="10"/>
      <c r="AH25" s="11"/>
      <c r="AI25" s="11"/>
      <c r="AJ25" s="40"/>
      <c r="AK25" s="40"/>
      <c r="AL25" s="46"/>
      <c r="AM25" s="46"/>
      <c r="AN25" s="46"/>
      <c r="AO25" s="46"/>
      <c r="AP25" s="46"/>
    </row>
    <row r="26" spans="1:42">
      <c r="A26" s="39">
        <f>A23+1</f>
        <v>8</v>
      </c>
      <c r="B26" s="39"/>
      <c r="C26" s="42" t="s">
        <v>17</v>
      </c>
      <c r="D26" s="10" t="s">
        <v>18</v>
      </c>
      <c r="E26" s="11"/>
      <c r="F26" s="11"/>
      <c r="G26" s="11"/>
      <c r="H26" s="11"/>
      <c r="I26" s="11"/>
      <c r="J26" s="11"/>
      <c r="K26" s="11"/>
      <c r="L26" s="11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39">
        <f>COUNTIFS(E26:AI27,"✓")/2</f>
        <v>0</v>
      </c>
      <c r="AK26" s="39">
        <f>SUM(O28:AG28,AH28)</f>
        <v>0</v>
      </c>
      <c r="AL26" s="44">
        <v>230000</v>
      </c>
      <c r="AM26" s="44">
        <v>25000</v>
      </c>
      <c r="AN26" s="44">
        <f>AL26*AJ26</f>
        <v>0</v>
      </c>
      <c r="AO26" s="44">
        <f>AM26*AK26</f>
        <v>0</v>
      </c>
      <c r="AP26" s="44">
        <f t="shared" ref="AP26" si="11">AL26*AJ26+AM26*AK26</f>
        <v>0</v>
      </c>
    </row>
    <row r="27" spans="1:42">
      <c r="A27" s="40"/>
      <c r="B27" s="40"/>
      <c r="C27" s="43"/>
      <c r="D27" s="10" t="s">
        <v>20</v>
      </c>
      <c r="E27" s="11"/>
      <c r="F27" s="11"/>
      <c r="G27" s="11"/>
      <c r="H27" s="11"/>
      <c r="I27" s="11"/>
      <c r="J27" s="11"/>
      <c r="K27" s="11"/>
      <c r="L27" s="11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40"/>
      <c r="AK27" s="40"/>
      <c r="AL27" s="45"/>
      <c r="AM27" s="45"/>
      <c r="AN27" s="45"/>
      <c r="AO27" s="45"/>
      <c r="AP27" s="45"/>
    </row>
    <row r="28" spans="1:42">
      <c r="A28" s="40"/>
      <c r="B28" s="40"/>
      <c r="C28" s="43"/>
      <c r="D28" s="12" t="s">
        <v>21</v>
      </c>
      <c r="E28" s="11"/>
      <c r="F28" s="11"/>
      <c r="G28" s="11"/>
      <c r="H28" s="11"/>
      <c r="I28" s="11"/>
      <c r="J28" s="11"/>
      <c r="K28" s="11"/>
      <c r="L28" s="11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40"/>
      <c r="AK28" s="40"/>
      <c r="AL28" s="46"/>
      <c r="AM28" s="46"/>
      <c r="AN28" s="46"/>
      <c r="AO28" s="46"/>
      <c r="AP28" s="46"/>
    </row>
    <row r="29" spans="1:42">
      <c r="A29" s="39">
        <f>A26+1</f>
        <v>9</v>
      </c>
      <c r="B29" s="39"/>
      <c r="C29" s="42" t="s">
        <v>24</v>
      </c>
      <c r="D29" s="10" t="s">
        <v>18</v>
      </c>
      <c r="E29" s="11"/>
      <c r="F29" s="11"/>
      <c r="G29" s="11"/>
      <c r="H29" s="11"/>
      <c r="I29" s="11"/>
      <c r="J29" s="11"/>
      <c r="K29" s="11"/>
      <c r="L29" s="11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39">
        <f>COUNTIFS(E29:AI30,"✓")/2</f>
        <v>0</v>
      </c>
      <c r="AK29" s="39">
        <f t="shared" ref="AK29" si="12">SUM(O31:AG31)</f>
        <v>0</v>
      </c>
      <c r="AL29" s="44">
        <v>230000</v>
      </c>
      <c r="AM29" s="44">
        <v>25000</v>
      </c>
      <c r="AN29" s="44">
        <f>AL29*AJ29</f>
        <v>0</v>
      </c>
      <c r="AO29" s="44">
        <f>AM29*AK29</f>
        <v>0</v>
      </c>
      <c r="AP29" s="44">
        <f t="shared" ref="AP29" si="13">AL29*AJ29+AM29*AK29</f>
        <v>0</v>
      </c>
    </row>
    <row r="30" spans="1:42">
      <c r="A30" s="40"/>
      <c r="B30" s="40"/>
      <c r="C30" s="43"/>
      <c r="D30" s="10" t="s">
        <v>20</v>
      </c>
      <c r="E30" s="11"/>
      <c r="F30" s="11"/>
      <c r="G30" s="11"/>
      <c r="H30" s="11"/>
      <c r="I30" s="11"/>
      <c r="J30" s="11"/>
      <c r="K30" s="11"/>
      <c r="L30" s="11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40"/>
      <c r="AK30" s="40"/>
      <c r="AL30" s="45"/>
      <c r="AM30" s="45"/>
      <c r="AN30" s="45"/>
      <c r="AO30" s="45"/>
      <c r="AP30" s="45"/>
    </row>
    <row r="31" spans="1:42">
      <c r="A31" s="40"/>
      <c r="B31" s="40"/>
      <c r="C31" s="43"/>
      <c r="D31" s="12" t="s">
        <v>21</v>
      </c>
      <c r="E31" s="11"/>
      <c r="F31" s="11"/>
      <c r="G31" s="11"/>
      <c r="H31" s="11"/>
      <c r="I31" s="11"/>
      <c r="J31" s="11"/>
      <c r="K31" s="11"/>
      <c r="L31" s="11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40"/>
      <c r="AK31" s="40"/>
      <c r="AL31" s="46"/>
      <c r="AM31" s="46"/>
      <c r="AN31" s="46"/>
      <c r="AO31" s="46"/>
      <c r="AP31" s="46"/>
    </row>
    <row r="32" spans="1:42">
      <c r="A32" s="39">
        <f>A29+1</f>
        <v>10</v>
      </c>
      <c r="B32" s="39"/>
      <c r="C32" s="42" t="s">
        <v>24</v>
      </c>
      <c r="D32" s="10" t="s">
        <v>18</v>
      </c>
      <c r="E32" s="11"/>
      <c r="F32" s="11"/>
      <c r="G32" s="11"/>
      <c r="H32" s="11"/>
      <c r="I32" s="11"/>
      <c r="J32" s="11"/>
      <c r="K32" s="11"/>
      <c r="L32" s="11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39">
        <f>COUNTIFS(E32:AI33,"✓")/2</f>
        <v>0</v>
      </c>
      <c r="AK32" s="39">
        <f t="shared" ref="AK32" si="14">SUM(O34:AG34)</f>
        <v>0</v>
      </c>
      <c r="AL32" s="44">
        <v>230000</v>
      </c>
      <c r="AM32" s="44">
        <v>25000</v>
      </c>
      <c r="AN32" s="44">
        <f>AL32*AJ32</f>
        <v>0</v>
      </c>
      <c r="AO32" s="44">
        <f>AM32*AK32</f>
        <v>0</v>
      </c>
      <c r="AP32" s="44">
        <f t="shared" ref="AP32" si="15">AL32*AJ32+AM32*AK32</f>
        <v>0</v>
      </c>
    </row>
    <row r="33" spans="1:42">
      <c r="A33" s="40"/>
      <c r="B33" s="40"/>
      <c r="C33" s="43"/>
      <c r="D33" s="10" t="s">
        <v>20</v>
      </c>
      <c r="E33" s="11"/>
      <c r="F33" s="11"/>
      <c r="G33" s="11"/>
      <c r="H33" s="11"/>
      <c r="I33" s="11"/>
      <c r="J33" s="11"/>
      <c r="K33" s="11"/>
      <c r="L33" s="11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40"/>
      <c r="AK33" s="40"/>
      <c r="AL33" s="45"/>
      <c r="AM33" s="45"/>
      <c r="AN33" s="45"/>
      <c r="AO33" s="45"/>
      <c r="AP33" s="45"/>
    </row>
    <row r="34" spans="1:42">
      <c r="A34" s="40"/>
      <c r="B34" s="40"/>
      <c r="C34" s="43"/>
      <c r="D34" s="12" t="s">
        <v>21</v>
      </c>
      <c r="E34" s="11"/>
      <c r="F34" s="11"/>
      <c r="G34" s="11"/>
      <c r="H34" s="11"/>
      <c r="I34" s="11"/>
      <c r="J34" s="11"/>
      <c r="K34" s="11"/>
      <c r="L34" s="11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40"/>
      <c r="AK34" s="40"/>
      <c r="AL34" s="46"/>
      <c r="AM34" s="46"/>
      <c r="AN34" s="46"/>
      <c r="AO34" s="46"/>
      <c r="AP34" s="46"/>
    </row>
    <row r="35" spans="1:42">
      <c r="A35" s="39">
        <f>A32+1</f>
        <v>11</v>
      </c>
      <c r="B35" s="39"/>
      <c r="C35" s="42" t="s">
        <v>24</v>
      </c>
      <c r="D35" s="10" t="s">
        <v>18</v>
      </c>
      <c r="E35" s="11"/>
      <c r="F35" s="11"/>
      <c r="G35" s="11"/>
      <c r="H35" s="11"/>
      <c r="I35" s="11"/>
      <c r="J35" s="11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39">
        <f>COUNTIFS(E35:AI36,"✓")/2</f>
        <v>0</v>
      </c>
      <c r="AK35" s="39">
        <f>SUM(O37:AG37,AH37)</f>
        <v>0</v>
      </c>
      <c r="AL35" s="44">
        <v>380000</v>
      </c>
      <c r="AM35" s="44">
        <v>40000</v>
      </c>
      <c r="AN35" s="44">
        <f>AL35*AJ35</f>
        <v>0</v>
      </c>
      <c r="AO35" s="44">
        <f>AM35*AK35</f>
        <v>0</v>
      </c>
      <c r="AP35" s="44">
        <f t="shared" ref="AP35" si="16">AL35*AJ35+AM35*AK35</f>
        <v>0</v>
      </c>
    </row>
    <row r="36" spans="1:42">
      <c r="A36" s="40"/>
      <c r="B36" s="40"/>
      <c r="C36" s="43"/>
      <c r="D36" s="10" t="s">
        <v>20</v>
      </c>
      <c r="E36" s="11"/>
      <c r="F36" s="11"/>
      <c r="G36" s="11"/>
      <c r="H36" s="11"/>
      <c r="I36" s="11"/>
      <c r="J36" s="11"/>
      <c r="K36" s="11"/>
      <c r="L36" s="11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40"/>
      <c r="AK36" s="40"/>
      <c r="AL36" s="45"/>
      <c r="AM36" s="45"/>
      <c r="AN36" s="45"/>
      <c r="AO36" s="45"/>
      <c r="AP36" s="45"/>
    </row>
    <row r="37" spans="1:42">
      <c r="A37" s="40"/>
      <c r="B37" s="40"/>
      <c r="C37" s="43"/>
      <c r="D37" s="12" t="s">
        <v>21</v>
      </c>
      <c r="E37" s="11"/>
      <c r="F37" s="11"/>
      <c r="G37" s="11"/>
      <c r="H37" s="11"/>
      <c r="I37" s="11"/>
      <c r="J37" s="11"/>
      <c r="K37" s="11"/>
      <c r="L37" s="11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40"/>
      <c r="AK37" s="40"/>
      <c r="AL37" s="46"/>
      <c r="AM37" s="46"/>
      <c r="AN37" s="46"/>
      <c r="AO37" s="46"/>
      <c r="AP37" s="46"/>
    </row>
    <row r="38" spans="1:42">
      <c r="A38" s="39">
        <f>A35+1</f>
        <v>12</v>
      </c>
      <c r="B38" s="39"/>
      <c r="C38" s="42" t="s">
        <v>24</v>
      </c>
      <c r="D38" s="10" t="s">
        <v>18</v>
      </c>
      <c r="E38" s="11"/>
      <c r="F38" s="11"/>
      <c r="G38" s="11"/>
      <c r="H38" s="11"/>
      <c r="I38" s="11"/>
      <c r="J38" s="11"/>
      <c r="K38" s="11"/>
      <c r="L38" s="11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39">
        <f>COUNTIFS(E38:AI39,"✓")/2</f>
        <v>0</v>
      </c>
      <c r="AK38" s="39">
        <f t="shared" ref="AK38" si="17">SUM(O40:AG40)</f>
        <v>0</v>
      </c>
      <c r="AL38" s="44">
        <v>230000</v>
      </c>
      <c r="AM38" s="44">
        <v>25000</v>
      </c>
      <c r="AN38" s="44">
        <f>AL38*AJ38</f>
        <v>0</v>
      </c>
      <c r="AO38" s="44">
        <f>AM38*AK38</f>
        <v>0</v>
      </c>
      <c r="AP38" s="44">
        <f t="shared" ref="AP38" si="18">AL38*AJ38+AM38*AK38</f>
        <v>0</v>
      </c>
    </row>
    <row r="39" spans="1:42">
      <c r="A39" s="40"/>
      <c r="B39" s="40"/>
      <c r="C39" s="43"/>
      <c r="D39" s="10" t="s">
        <v>20</v>
      </c>
      <c r="E39" s="11"/>
      <c r="F39" s="11"/>
      <c r="G39" s="11"/>
      <c r="H39" s="11"/>
      <c r="I39" s="11"/>
      <c r="J39" s="11"/>
      <c r="K39" s="11"/>
      <c r="L39" s="11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40"/>
      <c r="AK39" s="40"/>
      <c r="AL39" s="45"/>
      <c r="AM39" s="45"/>
      <c r="AN39" s="45"/>
      <c r="AO39" s="45"/>
      <c r="AP39" s="45"/>
    </row>
    <row r="40" spans="1:42">
      <c r="A40" s="40"/>
      <c r="B40" s="40"/>
      <c r="C40" s="43"/>
      <c r="D40" s="12" t="s">
        <v>21</v>
      </c>
      <c r="E40" s="11"/>
      <c r="F40" s="11"/>
      <c r="G40" s="11"/>
      <c r="H40" s="11"/>
      <c r="I40" s="11"/>
      <c r="J40" s="11"/>
      <c r="K40" s="11"/>
      <c r="L40" s="11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40"/>
      <c r="AK40" s="40"/>
      <c r="AL40" s="46"/>
      <c r="AM40" s="46"/>
      <c r="AN40" s="46"/>
      <c r="AO40" s="46"/>
      <c r="AP40" s="46"/>
    </row>
    <row r="41" spans="1:42">
      <c r="A41" s="39">
        <f>A38+1</f>
        <v>13</v>
      </c>
      <c r="B41" s="39"/>
      <c r="C41" s="42" t="s">
        <v>24</v>
      </c>
      <c r="D41" s="10" t="s">
        <v>18</v>
      </c>
      <c r="E41" s="11"/>
      <c r="F41" s="11"/>
      <c r="G41" s="11"/>
      <c r="H41" s="11"/>
      <c r="I41" s="11"/>
      <c r="J41" s="11"/>
      <c r="K41" s="11"/>
      <c r="L41" s="11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39">
        <f>COUNTIFS(E41:AI42,"✓")/2</f>
        <v>0</v>
      </c>
      <c r="AK41" s="39">
        <f t="shared" ref="AK41" si="19">SUM(O43:AG43)</f>
        <v>0</v>
      </c>
      <c r="AL41" s="44">
        <v>230000</v>
      </c>
      <c r="AM41" s="44">
        <v>25000</v>
      </c>
      <c r="AN41" s="44">
        <f>AL41*AJ41</f>
        <v>0</v>
      </c>
      <c r="AO41" s="44">
        <f>AM41*AK41</f>
        <v>0</v>
      </c>
      <c r="AP41" s="44">
        <f t="shared" ref="AP41" si="20">AL41*AJ41+AM41*AK41</f>
        <v>0</v>
      </c>
    </row>
    <row r="42" spans="1:42">
      <c r="A42" s="40"/>
      <c r="B42" s="40"/>
      <c r="C42" s="43"/>
      <c r="D42" s="10" t="s">
        <v>20</v>
      </c>
      <c r="E42" s="11"/>
      <c r="F42" s="11"/>
      <c r="G42" s="11"/>
      <c r="H42" s="11"/>
      <c r="I42" s="11"/>
      <c r="J42" s="11"/>
      <c r="K42" s="11"/>
      <c r="L42" s="11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40"/>
      <c r="AK42" s="40"/>
      <c r="AL42" s="45"/>
      <c r="AM42" s="45"/>
      <c r="AN42" s="45"/>
      <c r="AO42" s="45"/>
      <c r="AP42" s="45"/>
    </row>
    <row r="43" spans="1:42">
      <c r="A43" s="40"/>
      <c r="B43" s="40"/>
      <c r="C43" s="43"/>
      <c r="D43" s="12" t="s">
        <v>21</v>
      </c>
      <c r="E43" s="11"/>
      <c r="F43" s="11"/>
      <c r="G43" s="11"/>
      <c r="H43" s="11"/>
      <c r="I43" s="11"/>
      <c r="J43" s="11"/>
      <c r="K43" s="11"/>
      <c r="L43" s="11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40"/>
      <c r="AK43" s="40"/>
      <c r="AL43" s="46"/>
      <c r="AM43" s="46"/>
      <c r="AN43" s="46"/>
      <c r="AO43" s="46"/>
      <c r="AP43" s="46"/>
    </row>
    <row r="44" spans="1:42">
      <c r="A44" s="39">
        <f>A41+1</f>
        <v>14</v>
      </c>
      <c r="B44" s="39"/>
      <c r="C44" s="42" t="s">
        <v>24</v>
      </c>
      <c r="D44" s="10" t="s">
        <v>18</v>
      </c>
      <c r="E44" s="11"/>
      <c r="F44" s="11"/>
      <c r="G44" s="11"/>
      <c r="H44" s="11"/>
      <c r="I44" s="11"/>
      <c r="J44" s="11"/>
      <c r="K44" s="11"/>
      <c r="L44" s="11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39">
        <f>COUNTIFS(E44:AI45,"✓")/2</f>
        <v>0</v>
      </c>
      <c r="AK44" s="39">
        <f>SUM(O46:AG46,AH46)</f>
        <v>0</v>
      </c>
      <c r="AL44" s="44">
        <v>230000</v>
      </c>
      <c r="AM44" s="44">
        <v>25000</v>
      </c>
      <c r="AN44" s="44">
        <f>AL44*AJ44</f>
        <v>0</v>
      </c>
      <c r="AO44" s="44">
        <f>AM44*AK44</f>
        <v>0</v>
      </c>
      <c r="AP44" s="44">
        <f t="shared" ref="AP44" si="21">AL44*AJ44+AM44*AK44</f>
        <v>0</v>
      </c>
    </row>
    <row r="45" spans="1:42">
      <c r="A45" s="40"/>
      <c r="B45" s="40"/>
      <c r="C45" s="43"/>
      <c r="D45" s="10" t="s">
        <v>20</v>
      </c>
      <c r="E45" s="11"/>
      <c r="F45" s="11"/>
      <c r="G45" s="11"/>
      <c r="H45" s="11"/>
      <c r="I45" s="11"/>
      <c r="J45" s="11"/>
      <c r="K45" s="11"/>
      <c r="L45" s="11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40"/>
      <c r="AK45" s="40"/>
      <c r="AL45" s="45"/>
      <c r="AM45" s="45"/>
      <c r="AN45" s="45"/>
      <c r="AO45" s="45"/>
      <c r="AP45" s="45"/>
    </row>
    <row r="46" spans="1:42">
      <c r="A46" s="40"/>
      <c r="B46" s="40"/>
      <c r="C46" s="43"/>
      <c r="D46" s="12" t="s">
        <v>21</v>
      </c>
      <c r="E46" s="11"/>
      <c r="F46" s="11"/>
      <c r="G46" s="11"/>
      <c r="H46" s="11"/>
      <c r="I46" s="11"/>
      <c r="J46" s="11"/>
      <c r="K46" s="11"/>
      <c r="L46" s="11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40"/>
      <c r="AK46" s="40"/>
      <c r="AL46" s="46"/>
      <c r="AM46" s="46"/>
      <c r="AN46" s="46"/>
      <c r="AO46" s="46"/>
      <c r="AP46" s="46"/>
    </row>
    <row r="47" spans="1:42">
      <c r="A47" s="39">
        <f>A44+1</f>
        <v>15</v>
      </c>
      <c r="B47" s="39"/>
      <c r="C47" s="42" t="s">
        <v>24</v>
      </c>
      <c r="D47" s="10" t="s">
        <v>18</v>
      </c>
      <c r="E47" s="11"/>
      <c r="F47" s="11"/>
      <c r="G47" s="11"/>
      <c r="H47" s="11"/>
      <c r="I47" s="11"/>
      <c r="J47" s="11"/>
      <c r="K47" s="11"/>
      <c r="L47" s="11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39">
        <f>COUNTIFS(E47:AI48,"✓")/2</f>
        <v>0</v>
      </c>
      <c r="AK47" s="39">
        <f>SUM(O49:AG49,AH49)</f>
        <v>0</v>
      </c>
      <c r="AL47" s="44">
        <v>380000</v>
      </c>
      <c r="AM47" s="44">
        <v>40000</v>
      </c>
      <c r="AN47" s="44">
        <f>AL47*AJ47</f>
        <v>0</v>
      </c>
      <c r="AO47" s="44">
        <f>AM47*AK47</f>
        <v>0</v>
      </c>
      <c r="AP47" s="44">
        <f t="shared" ref="AP47" si="22">AL47*AJ47+AM47*AK47</f>
        <v>0</v>
      </c>
    </row>
    <row r="48" spans="1:42">
      <c r="A48" s="40"/>
      <c r="B48" s="40"/>
      <c r="C48" s="43"/>
      <c r="D48" s="10" t="s">
        <v>20</v>
      </c>
      <c r="E48" s="11"/>
      <c r="F48" s="11"/>
      <c r="G48" s="11"/>
      <c r="H48" s="11"/>
      <c r="I48" s="11"/>
      <c r="J48" s="11"/>
      <c r="K48" s="11"/>
      <c r="L48" s="11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40"/>
      <c r="AK48" s="40"/>
      <c r="AL48" s="45"/>
      <c r="AM48" s="45"/>
      <c r="AN48" s="45"/>
      <c r="AO48" s="45"/>
      <c r="AP48" s="45"/>
    </row>
    <row r="49" spans="1:42">
      <c r="A49" s="40"/>
      <c r="B49" s="40"/>
      <c r="C49" s="43"/>
      <c r="D49" s="12" t="s">
        <v>21</v>
      </c>
      <c r="E49" s="11"/>
      <c r="F49" s="11"/>
      <c r="G49" s="11"/>
      <c r="H49" s="11"/>
      <c r="I49" s="11"/>
      <c r="J49" s="11"/>
      <c r="K49" s="11"/>
      <c r="L49" s="11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40"/>
      <c r="AK49" s="40"/>
      <c r="AL49" s="46"/>
      <c r="AM49" s="46"/>
      <c r="AN49" s="46"/>
      <c r="AO49" s="46"/>
      <c r="AP49" s="46"/>
    </row>
    <row r="50" spans="1:42">
      <c r="A50" s="39">
        <f>A47+1</f>
        <v>16</v>
      </c>
      <c r="B50" s="39"/>
      <c r="C50" s="42" t="s">
        <v>24</v>
      </c>
      <c r="D50" s="10" t="s">
        <v>18</v>
      </c>
      <c r="E50" s="11"/>
      <c r="F50" s="11"/>
      <c r="G50" s="11"/>
      <c r="H50" s="11"/>
      <c r="I50" s="11"/>
      <c r="J50" s="11"/>
      <c r="K50" s="11"/>
      <c r="L50" s="11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39">
        <f>COUNTIFS(E50:AI51,"✓")/2</f>
        <v>0</v>
      </c>
      <c r="AK50" s="39">
        <f>SUM(O52:AG52,AH52)</f>
        <v>0</v>
      </c>
      <c r="AL50" s="44">
        <v>230000</v>
      </c>
      <c r="AM50" s="44">
        <v>25000</v>
      </c>
      <c r="AN50" s="44">
        <f>AL50*AJ50</f>
        <v>0</v>
      </c>
      <c r="AO50" s="44">
        <f>AM50*AK50</f>
        <v>0</v>
      </c>
      <c r="AP50" s="44">
        <f t="shared" ref="AP50" si="23">AL50*AJ50+AM50*AK50</f>
        <v>0</v>
      </c>
    </row>
    <row r="51" spans="1:42">
      <c r="A51" s="40"/>
      <c r="B51" s="40"/>
      <c r="C51" s="43"/>
      <c r="D51" s="10" t="s">
        <v>20</v>
      </c>
      <c r="E51" s="11"/>
      <c r="F51" s="11"/>
      <c r="G51" s="11"/>
      <c r="H51" s="11"/>
      <c r="I51" s="11"/>
      <c r="J51" s="11"/>
      <c r="K51" s="11"/>
      <c r="L51" s="11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40"/>
      <c r="AK51" s="40"/>
      <c r="AL51" s="45"/>
      <c r="AM51" s="45"/>
      <c r="AN51" s="45"/>
      <c r="AO51" s="45"/>
      <c r="AP51" s="45"/>
    </row>
    <row r="52" spans="1:42">
      <c r="A52" s="40"/>
      <c r="B52" s="40"/>
      <c r="C52" s="43"/>
      <c r="D52" s="12" t="s">
        <v>21</v>
      </c>
      <c r="E52" s="11"/>
      <c r="F52" s="11"/>
      <c r="G52" s="11"/>
      <c r="H52" s="11"/>
      <c r="I52" s="11"/>
      <c r="J52" s="11"/>
      <c r="K52" s="11"/>
      <c r="L52" s="11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40"/>
      <c r="AK52" s="40"/>
      <c r="AL52" s="46"/>
      <c r="AM52" s="46"/>
      <c r="AN52" s="46"/>
      <c r="AO52" s="46"/>
      <c r="AP52" s="46"/>
    </row>
    <row r="53" spans="1:42">
      <c r="A53" s="39">
        <f>A50+1</f>
        <v>17</v>
      </c>
      <c r="B53" s="39"/>
      <c r="C53" s="42" t="s">
        <v>17</v>
      </c>
      <c r="D53" s="10" t="s">
        <v>18</v>
      </c>
      <c r="E53" s="11"/>
      <c r="F53" s="11"/>
      <c r="G53" s="11"/>
      <c r="H53" s="11"/>
      <c r="I53" s="11"/>
      <c r="J53" s="11"/>
      <c r="K53" s="11"/>
      <c r="L53" s="11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39">
        <f>COUNTIFS(E53:AI54,"✓")/2</f>
        <v>0</v>
      </c>
      <c r="AK53" s="39">
        <f>SUM(O55:AG55,AH55)</f>
        <v>0</v>
      </c>
      <c r="AL53" s="44">
        <v>230000</v>
      </c>
      <c r="AM53" s="44">
        <v>25000</v>
      </c>
      <c r="AN53" s="44">
        <f>AL53*AJ53</f>
        <v>0</v>
      </c>
      <c r="AO53" s="44">
        <f>AM53*AK53</f>
        <v>0</v>
      </c>
      <c r="AP53" s="44">
        <f t="shared" ref="AP53" si="24">AL53*AJ53+AM53*AK53</f>
        <v>0</v>
      </c>
    </row>
    <row r="54" spans="1:42">
      <c r="A54" s="40"/>
      <c r="B54" s="40"/>
      <c r="C54" s="43"/>
      <c r="D54" s="10" t="s">
        <v>20</v>
      </c>
      <c r="E54" s="11"/>
      <c r="F54" s="11"/>
      <c r="G54" s="11"/>
      <c r="H54" s="11"/>
      <c r="I54" s="11"/>
      <c r="J54" s="11"/>
      <c r="K54" s="11"/>
      <c r="L54" s="11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40"/>
      <c r="AK54" s="40"/>
      <c r="AL54" s="45"/>
      <c r="AM54" s="45"/>
      <c r="AN54" s="45"/>
      <c r="AO54" s="45"/>
      <c r="AP54" s="45"/>
    </row>
    <row r="55" spans="1:42">
      <c r="A55" s="40"/>
      <c r="B55" s="40"/>
      <c r="C55" s="43"/>
      <c r="D55" s="12" t="s">
        <v>21</v>
      </c>
      <c r="E55" s="11"/>
      <c r="F55" s="11"/>
      <c r="G55" s="11"/>
      <c r="H55" s="11"/>
      <c r="I55" s="11"/>
      <c r="J55" s="11"/>
      <c r="K55" s="11"/>
      <c r="L55" s="11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40"/>
      <c r="AK55" s="40"/>
      <c r="AL55" s="46"/>
      <c r="AM55" s="46"/>
      <c r="AN55" s="46"/>
      <c r="AO55" s="46"/>
      <c r="AP55" s="46"/>
    </row>
    <row r="56" spans="1:42">
      <c r="A56" s="39">
        <f>A53+1</f>
        <v>18</v>
      </c>
      <c r="B56" s="39"/>
      <c r="C56" s="42" t="s">
        <v>17</v>
      </c>
      <c r="D56" s="10" t="s">
        <v>18</v>
      </c>
      <c r="E56" s="11"/>
      <c r="F56" s="11"/>
      <c r="G56" s="11"/>
      <c r="H56" s="11"/>
      <c r="I56" s="11"/>
      <c r="J56" s="11"/>
      <c r="K56" s="11"/>
      <c r="L56" s="11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39">
        <f>COUNTIFS(E56:AI57,"✓")/2</f>
        <v>0</v>
      </c>
      <c r="AK56" s="39">
        <f>SUM(O58:AG58,AH58)</f>
        <v>0</v>
      </c>
      <c r="AL56" s="44">
        <v>230000</v>
      </c>
      <c r="AM56" s="44">
        <v>25000</v>
      </c>
      <c r="AN56" s="44">
        <f>AL56*AJ56</f>
        <v>0</v>
      </c>
      <c r="AO56" s="44">
        <f>AM56*AK56</f>
        <v>0</v>
      </c>
      <c r="AP56" s="44">
        <f t="shared" ref="AP56" si="25">AL56*AJ56+AM56*AK56</f>
        <v>0</v>
      </c>
    </row>
    <row r="57" spans="1:42">
      <c r="A57" s="40"/>
      <c r="B57" s="40"/>
      <c r="C57" s="43"/>
      <c r="D57" s="10" t="s">
        <v>20</v>
      </c>
      <c r="E57" s="11"/>
      <c r="F57" s="11"/>
      <c r="G57" s="11"/>
      <c r="H57" s="11"/>
      <c r="I57" s="11"/>
      <c r="J57" s="11"/>
      <c r="K57" s="11"/>
      <c r="L57" s="11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40"/>
      <c r="AK57" s="40"/>
      <c r="AL57" s="45"/>
      <c r="AM57" s="45"/>
      <c r="AN57" s="45"/>
      <c r="AO57" s="45"/>
      <c r="AP57" s="45"/>
    </row>
    <row r="58" spans="1:42">
      <c r="A58" s="40"/>
      <c r="B58" s="40"/>
      <c r="C58" s="43"/>
      <c r="D58" s="12" t="s">
        <v>21</v>
      </c>
      <c r="E58" s="11"/>
      <c r="F58" s="11"/>
      <c r="G58" s="11"/>
      <c r="H58" s="11"/>
      <c r="I58" s="11"/>
      <c r="J58" s="11"/>
      <c r="K58" s="11"/>
      <c r="L58" s="11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40"/>
      <c r="AK58" s="40"/>
      <c r="AL58" s="46"/>
      <c r="AM58" s="46"/>
      <c r="AN58" s="46"/>
      <c r="AO58" s="46"/>
      <c r="AP58" s="46"/>
    </row>
    <row r="59" spans="1:42">
      <c r="A59" s="39">
        <f>A56+1</f>
        <v>19</v>
      </c>
      <c r="B59" s="39"/>
      <c r="C59" s="42" t="s">
        <v>17</v>
      </c>
      <c r="D59" s="10" t="s">
        <v>18</v>
      </c>
      <c r="E59" s="11"/>
      <c r="F59" s="11"/>
      <c r="G59" s="11"/>
      <c r="H59" s="11"/>
      <c r="I59" s="11"/>
      <c r="J59" s="11"/>
      <c r="K59" s="11"/>
      <c r="L59" s="11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39">
        <f>COUNTIFS(E59:AI60,"✓")/2</f>
        <v>0</v>
      </c>
      <c r="AK59" s="39">
        <f t="shared" ref="AK59" si="26">SUM(O61:AG61)</f>
        <v>0</v>
      </c>
      <c r="AL59" s="44">
        <v>280000</v>
      </c>
      <c r="AM59" s="44">
        <v>30000</v>
      </c>
      <c r="AN59" s="44">
        <f>AL59*AJ59</f>
        <v>0</v>
      </c>
      <c r="AO59" s="44">
        <f>AM59*AK59</f>
        <v>0</v>
      </c>
      <c r="AP59" s="44">
        <f t="shared" ref="AP59" si="27">AL59*AJ59+AM59*AK59</f>
        <v>0</v>
      </c>
    </row>
    <row r="60" spans="1:42">
      <c r="A60" s="40"/>
      <c r="B60" s="40"/>
      <c r="C60" s="43"/>
      <c r="D60" s="10" t="s">
        <v>20</v>
      </c>
      <c r="E60" s="11"/>
      <c r="F60" s="11"/>
      <c r="G60" s="11"/>
      <c r="H60" s="11"/>
      <c r="I60" s="11"/>
      <c r="J60" s="11"/>
      <c r="K60" s="11"/>
      <c r="L60" s="11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40"/>
      <c r="AK60" s="40"/>
      <c r="AL60" s="45"/>
      <c r="AM60" s="45"/>
      <c r="AN60" s="45"/>
      <c r="AO60" s="45"/>
      <c r="AP60" s="45"/>
    </row>
    <row r="61" spans="1:42">
      <c r="A61" s="40"/>
      <c r="B61" s="40"/>
      <c r="C61" s="43"/>
      <c r="D61" s="12" t="s">
        <v>21</v>
      </c>
      <c r="E61" s="11"/>
      <c r="F61" s="11"/>
      <c r="G61" s="11"/>
      <c r="H61" s="11"/>
      <c r="I61" s="11"/>
      <c r="J61" s="11"/>
      <c r="K61" s="11"/>
      <c r="L61" s="11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40"/>
      <c r="AK61" s="40"/>
      <c r="AL61" s="46"/>
      <c r="AM61" s="46"/>
      <c r="AN61" s="46"/>
      <c r="AO61" s="46"/>
      <c r="AP61" s="46"/>
    </row>
    <row r="62" spans="1:42">
      <c r="A62" s="39">
        <f>A59+1</f>
        <v>20</v>
      </c>
      <c r="B62" s="39"/>
      <c r="C62" s="42" t="s">
        <v>17</v>
      </c>
      <c r="D62" s="10" t="s">
        <v>18</v>
      </c>
      <c r="E62" s="11"/>
      <c r="F62" s="11"/>
      <c r="G62" s="11"/>
      <c r="H62" s="11"/>
      <c r="I62" s="11"/>
      <c r="J62" s="11"/>
      <c r="K62" s="11"/>
      <c r="L62" s="11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39">
        <f>COUNTIFS(E62:AI63,"✓")/2</f>
        <v>0</v>
      </c>
      <c r="AK62" s="39">
        <f>SUM(O64:AG64,AH64)</f>
        <v>0</v>
      </c>
      <c r="AL62" s="44">
        <v>230000</v>
      </c>
      <c r="AM62" s="44">
        <v>25000</v>
      </c>
      <c r="AN62" s="44">
        <f>AL62*AJ62</f>
        <v>0</v>
      </c>
      <c r="AO62" s="44">
        <f>AM62*AK62</f>
        <v>0</v>
      </c>
      <c r="AP62" s="44">
        <f t="shared" ref="AP62" si="28">AL62*AJ62+AM62*AK62</f>
        <v>0</v>
      </c>
    </row>
    <row r="63" spans="1:42">
      <c r="A63" s="40"/>
      <c r="B63" s="40"/>
      <c r="C63" s="43"/>
      <c r="D63" s="10" t="s">
        <v>20</v>
      </c>
      <c r="E63" s="11"/>
      <c r="F63" s="11"/>
      <c r="G63" s="11"/>
      <c r="H63" s="11"/>
      <c r="I63" s="11"/>
      <c r="J63" s="11"/>
      <c r="K63" s="11"/>
      <c r="L63" s="11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40"/>
      <c r="AK63" s="40"/>
      <c r="AL63" s="45"/>
      <c r="AM63" s="45"/>
      <c r="AN63" s="45"/>
      <c r="AO63" s="45"/>
      <c r="AP63" s="45"/>
    </row>
    <row r="64" spans="1:42">
      <c r="A64" s="40"/>
      <c r="B64" s="40"/>
      <c r="C64" s="43"/>
      <c r="D64" s="12" t="s">
        <v>21</v>
      </c>
      <c r="E64" s="11"/>
      <c r="F64" s="11"/>
      <c r="G64" s="11"/>
      <c r="H64" s="11"/>
      <c r="I64" s="11"/>
      <c r="J64" s="11"/>
      <c r="K64" s="11"/>
      <c r="L64" s="11"/>
      <c r="M64" s="11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40"/>
      <c r="AK64" s="40"/>
      <c r="AL64" s="46"/>
      <c r="AM64" s="46"/>
      <c r="AN64" s="46"/>
      <c r="AO64" s="46"/>
      <c r="AP64" s="46"/>
    </row>
    <row r="65" spans="1:42">
      <c r="A65" s="39">
        <f>A62+1</f>
        <v>21</v>
      </c>
      <c r="B65" s="39"/>
      <c r="C65" s="42" t="s">
        <v>24</v>
      </c>
      <c r="D65" s="10" t="s">
        <v>18</v>
      </c>
      <c r="E65" s="11"/>
      <c r="F65" s="11"/>
      <c r="G65" s="11"/>
      <c r="H65" s="11"/>
      <c r="I65" s="11"/>
      <c r="J65" s="11"/>
      <c r="K65" s="11"/>
      <c r="L65" s="11"/>
      <c r="M65" s="11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39">
        <f>COUNTIFS(E65:AI66,"✓")/2</f>
        <v>0</v>
      </c>
      <c r="AK65" s="39">
        <f t="shared" ref="AK65" si="29">SUM(O67:AG67)</f>
        <v>0</v>
      </c>
      <c r="AL65" s="44">
        <v>230000</v>
      </c>
      <c r="AM65" s="44">
        <v>25000</v>
      </c>
      <c r="AN65" s="44">
        <f>AL65*AJ65</f>
        <v>0</v>
      </c>
      <c r="AO65" s="44">
        <f>AM65*AK65</f>
        <v>0</v>
      </c>
      <c r="AP65" s="44">
        <f t="shared" ref="AP65" si="30">AL65*AJ65+AM65*AK65</f>
        <v>0</v>
      </c>
    </row>
    <row r="66" spans="1:42">
      <c r="A66" s="40"/>
      <c r="B66" s="40"/>
      <c r="C66" s="43"/>
      <c r="D66" s="10" t="s">
        <v>20</v>
      </c>
      <c r="E66" s="11"/>
      <c r="F66" s="11"/>
      <c r="G66" s="11"/>
      <c r="H66" s="11"/>
      <c r="I66" s="11"/>
      <c r="J66" s="11"/>
      <c r="K66" s="11"/>
      <c r="L66" s="11"/>
      <c r="M66" s="11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40"/>
      <c r="AK66" s="40"/>
      <c r="AL66" s="45"/>
      <c r="AM66" s="45"/>
      <c r="AN66" s="45"/>
      <c r="AO66" s="45"/>
      <c r="AP66" s="45"/>
    </row>
    <row r="67" spans="1:42">
      <c r="A67" s="40"/>
      <c r="B67" s="40"/>
      <c r="C67" s="43"/>
      <c r="D67" s="12" t="s">
        <v>21</v>
      </c>
      <c r="E67" s="11"/>
      <c r="F67" s="11"/>
      <c r="G67" s="11"/>
      <c r="H67" s="11"/>
      <c r="I67" s="11"/>
      <c r="J67" s="11"/>
      <c r="K67" s="11"/>
      <c r="L67" s="11"/>
      <c r="M67" s="11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40"/>
      <c r="AK67" s="40"/>
      <c r="AL67" s="46"/>
      <c r="AM67" s="46"/>
      <c r="AN67" s="46"/>
      <c r="AO67" s="46"/>
      <c r="AP67" s="46"/>
    </row>
    <row r="68" spans="1:42">
      <c r="A68" s="39">
        <f>A65+1</f>
        <v>22</v>
      </c>
      <c r="B68" s="39"/>
      <c r="C68" s="42" t="s">
        <v>24</v>
      </c>
      <c r="D68" s="10" t="s">
        <v>18</v>
      </c>
      <c r="E68" s="11"/>
      <c r="F68" s="11"/>
      <c r="G68" s="11"/>
      <c r="H68" s="11"/>
      <c r="I68" s="11"/>
      <c r="J68" s="11"/>
      <c r="K68" s="11"/>
      <c r="L68" s="11"/>
      <c r="M68" s="11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39">
        <f>COUNTIFS(E68:AI69,"✓")/2</f>
        <v>0</v>
      </c>
      <c r="AK68" s="39">
        <f>SUM(N70:AG70)</f>
        <v>0</v>
      </c>
      <c r="AL68" s="44">
        <v>230000</v>
      </c>
      <c r="AM68" s="44">
        <v>25000</v>
      </c>
      <c r="AN68" s="44">
        <f>AL68*AJ68</f>
        <v>0</v>
      </c>
      <c r="AO68" s="44">
        <f>AM68*AK68</f>
        <v>0</v>
      </c>
      <c r="AP68" s="44">
        <f t="shared" ref="AP68" si="31">AL68*AJ68+AM68*AK68</f>
        <v>0</v>
      </c>
    </row>
    <row r="69" spans="1:42">
      <c r="A69" s="40"/>
      <c r="B69" s="40"/>
      <c r="C69" s="43"/>
      <c r="D69" s="10" t="s">
        <v>20</v>
      </c>
      <c r="E69" s="11"/>
      <c r="F69" s="11"/>
      <c r="G69" s="11"/>
      <c r="H69" s="11"/>
      <c r="I69" s="11"/>
      <c r="J69" s="11"/>
      <c r="K69" s="11"/>
      <c r="L69" s="11"/>
      <c r="M69" s="11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40"/>
      <c r="AK69" s="40"/>
      <c r="AL69" s="45"/>
      <c r="AM69" s="45"/>
      <c r="AN69" s="45"/>
      <c r="AO69" s="45"/>
      <c r="AP69" s="45"/>
    </row>
    <row r="70" spans="1:42">
      <c r="A70" s="40"/>
      <c r="B70" s="40"/>
      <c r="C70" s="43"/>
      <c r="D70" s="12" t="s">
        <v>21</v>
      </c>
      <c r="E70" s="11"/>
      <c r="F70" s="11"/>
      <c r="G70" s="11"/>
      <c r="H70" s="11"/>
      <c r="I70" s="11"/>
      <c r="J70" s="11"/>
      <c r="K70" s="11"/>
      <c r="L70" s="11"/>
      <c r="M70" s="11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40"/>
      <c r="AK70" s="40"/>
      <c r="AL70" s="46"/>
      <c r="AM70" s="46"/>
      <c r="AN70" s="46"/>
      <c r="AO70" s="46"/>
      <c r="AP70" s="46"/>
    </row>
    <row r="71" spans="1:42">
      <c r="A71" s="39">
        <f>A68+1</f>
        <v>23</v>
      </c>
      <c r="B71" s="39"/>
      <c r="C71" s="42" t="s">
        <v>24</v>
      </c>
      <c r="D71" s="10" t="s">
        <v>18</v>
      </c>
      <c r="E71" s="11"/>
      <c r="F71" s="11"/>
      <c r="G71" s="11"/>
      <c r="H71" s="11"/>
      <c r="I71" s="11"/>
      <c r="J71" s="11"/>
      <c r="K71" s="11"/>
      <c r="L71" s="11"/>
      <c r="M71" s="11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39">
        <f>COUNTIFS(E71:AI72,"✓")/2</f>
        <v>0</v>
      </c>
      <c r="AK71" s="39">
        <f t="shared" ref="AK71" si="32">SUM(O73:AG73)</f>
        <v>0</v>
      </c>
      <c r="AL71" s="44">
        <v>230000</v>
      </c>
      <c r="AM71" s="44">
        <v>25000</v>
      </c>
      <c r="AN71" s="44">
        <f>AL71*AJ71</f>
        <v>0</v>
      </c>
      <c r="AO71" s="44">
        <f>AM71*AK71</f>
        <v>0</v>
      </c>
      <c r="AP71" s="44">
        <f t="shared" ref="AP71" si="33">AL71*AJ71+AM71*AK71</f>
        <v>0</v>
      </c>
    </row>
    <row r="72" spans="1:42">
      <c r="A72" s="40"/>
      <c r="B72" s="40"/>
      <c r="C72" s="43"/>
      <c r="D72" s="10" t="s">
        <v>20</v>
      </c>
      <c r="E72" s="11"/>
      <c r="F72" s="11"/>
      <c r="G72" s="11"/>
      <c r="H72" s="11"/>
      <c r="I72" s="11"/>
      <c r="J72" s="11"/>
      <c r="K72" s="11"/>
      <c r="L72" s="11"/>
      <c r="M72" s="11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40"/>
      <c r="AK72" s="40"/>
      <c r="AL72" s="45"/>
      <c r="AM72" s="45"/>
      <c r="AN72" s="45"/>
      <c r="AO72" s="45"/>
      <c r="AP72" s="45"/>
    </row>
    <row r="73" spans="1:42">
      <c r="A73" s="40"/>
      <c r="B73" s="40"/>
      <c r="C73" s="43"/>
      <c r="D73" s="12" t="s">
        <v>21</v>
      </c>
      <c r="E73" s="11"/>
      <c r="F73" s="11"/>
      <c r="G73" s="11"/>
      <c r="H73" s="11"/>
      <c r="I73" s="11"/>
      <c r="J73" s="11"/>
      <c r="K73" s="11"/>
      <c r="L73" s="11"/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40"/>
      <c r="AK73" s="40"/>
      <c r="AL73" s="46"/>
      <c r="AM73" s="46"/>
      <c r="AN73" s="46"/>
      <c r="AO73" s="46"/>
      <c r="AP73" s="46"/>
    </row>
    <row r="74" spans="1:42">
      <c r="A74" s="39">
        <f>A71+1</f>
        <v>24</v>
      </c>
      <c r="B74" s="39"/>
      <c r="C74" s="42" t="s">
        <v>24</v>
      </c>
      <c r="D74" s="10" t="s">
        <v>18</v>
      </c>
      <c r="E74" s="11"/>
      <c r="F74" s="11"/>
      <c r="G74" s="11"/>
      <c r="H74" s="11"/>
      <c r="I74" s="11"/>
      <c r="J74" s="11"/>
      <c r="K74" s="11"/>
      <c r="L74" s="11"/>
      <c r="M74" s="11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39">
        <f>COUNTIFS(E74:AI75,"✓")/2</f>
        <v>0</v>
      </c>
      <c r="AK74" s="39">
        <f t="shared" ref="AK74" si="34">SUM(O76:AG76)</f>
        <v>0</v>
      </c>
      <c r="AL74" s="44">
        <v>230000</v>
      </c>
      <c r="AM74" s="44">
        <v>25000</v>
      </c>
      <c r="AN74" s="44">
        <f>AL74*AJ74</f>
        <v>0</v>
      </c>
      <c r="AO74" s="44">
        <f>AM74*AK74</f>
        <v>0</v>
      </c>
      <c r="AP74" s="44">
        <f t="shared" ref="AP74" si="35">AL74*AJ74+AM74*AK74</f>
        <v>0</v>
      </c>
    </row>
    <row r="75" spans="1:42">
      <c r="A75" s="40"/>
      <c r="B75" s="40"/>
      <c r="C75" s="43"/>
      <c r="D75" s="10" t="s">
        <v>20</v>
      </c>
      <c r="E75" s="11"/>
      <c r="F75" s="11"/>
      <c r="G75" s="11"/>
      <c r="H75" s="11"/>
      <c r="I75" s="11"/>
      <c r="J75" s="11"/>
      <c r="K75" s="11"/>
      <c r="L75" s="11"/>
      <c r="M75" s="11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40"/>
      <c r="AK75" s="40"/>
      <c r="AL75" s="45"/>
      <c r="AM75" s="45"/>
      <c r="AN75" s="45"/>
      <c r="AO75" s="45"/>
      <c r="AP75" s="45"/>
    </row>
    <row r="76" spans="1:42">
      <c r="A76" s="40"/>
      <c r="B76" s="40"/>
      <c r="C76" s="43"/>
      <c r="D76" s="12" t="s">
        <v>21</v>
      </c>
      <c r="E76" s="11"/>
      <c r="F76" s="11"/>
      <c r="G76" s="11"/>
      <c r="H76" s="11"/>
      <c r="I76" s="11"/>
      <c r="J76" s="11"/>
      <c r="K76" s="11"/>
      <c r="L76" s="11"/>
      <c r="M76" s="11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40"/>
      <c r="AK76" s="40"/>
      <c r="AL76" s="46"/>
      <c r="AM76" s="46"/>
      <c r="AN76" s="46"/>
      <c r="AO76" s="46"/>
      <c r="AP76" s="46"/>
    </row>
    <row r="77" spans="1:42">
      <c r="A77" s="39">
        <f>A74+1</f>
        <v>25</v>
      </c>
      <c r="B77" s="39"/>
      <c r="C77" s="42" t="s">
        <v>24</v>
      </c>
      <c r="D77" s="10" t="s">
        <v>18</v>
      </c>
      <c r="E77" s="11"/>
      <c r="F77" s="11"/>
      <c r="G77" s="11"/>
      <c r="H77" s="11"/>
      <c r="I77" s="11"/>
      <c r="J77" s="11"/>
      <c r="K77" s="11"/>
      <c r="L77" s="11"/>
      <c r="M77" s="11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39">
        <f>COUNTIFS(E77:AI78,"✓")/2</f>
        <v>0</v>
      </c>
      <c r="AK77" s="39">
        <f t="shared" ref="AK77" si="36">SUM(O79:AG79)</f>
        <v>0</v>
      </c>
      <c r="AL77" s="44">
        <v>230000</v>
      </c>
      <c r="AM77" s="44">
        <v>25000</v>
      </c>
      <c r="AN77" s="44">
        <f>AL77*AJ77</f>
        <v>0</v>
      </c>
      <c r="AO77" s="44">
        <f>AM77*AK77</f>
        <v>0</v>
      </c>
      <c r="AP77" s="44">
        <f t="shared" ref="AP77" si="37">AL77*AJ77+AM77*AK77</f>
        <v>0</v>
      </c>
    </row>
    <row r="78" spans="1:42">
      <c r="A78" s="40"/>
      <c r="B78" s="40"/>
      <c r="C78" s="43"/>
      <c r="D78" s="10" t="s">
        <v>20</v>
      </c>
      <c r="E78" s="11"/>
      <c r="F78" s="11"/>
      <c r="G78" s="11"/>
      <c r="H78" s="11"/>
      <c r="I78" s="11"/>
      <c r="J78" s="11"/>
      <c r="K78" s="11"/>
      <c r="L78" s="11"/>
      <c r="M78" s="11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40"/>
      <c r="AK78" s="40"/>
      <c r="AL78" s="45"/>
      <c r="AM78" s="45"/>
      <c r="AN78" s="45"/>
      <c r="AO78" s="45"/>
      <c r="AP78" s="45"/>
    </row>
    <row r="79" spans="1:42">
      <c r="A79" s="40"/>
      <c r="B79" s="40"/>
      <c r="C79" s="43"/>
      <c r="D79" s="12" t="s">
        <v>21</v>
      </c>
      <c r="E79" s="11"/>
      <c r="F79" s="11"/>
      <c r="G79" s="11"/>
      <c r="H79" s="11"/>
      <c r="I79" s="11"/>
      <c r="J79" s="11"/>
      <c r="K79" s="11"/>
      <c r="L79" s="11"/>
      <c r="M79" s="11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40"/>
      <c r="AK79" s="40"/>
      <c r="AL79" s="46"/>
      <c r="AM79" s="46"/>
      <c r="AN79" s="46"/>
      <c r="AO79" s="46"/>
      <c r="AP79" s="46"/>
    </row>
    <row r="80" spans="1:42">
      <c r="A80" s="39">
        <f>A77+1</f>
        <v>26</v>
      </c>
      <c r="B80" s="39"/>
      <c r="C80" s="42" t="s">
        <v>24</v>
      </c>
      <c r="D80" s="10" t="s">
        <v>18</v>
      </c>
      <c r="E80" s="11"/>
      <c r="F80" s="11"/>
      <c r="G80" s="11"/>
      <c r="H80" s="11"/>
      <c r="I80" s="11"/>
      <c r="J80" s="11"/>
      <c r="K80" s="11"/>
      <c r="L80" s="11"/>
      <c r="M80" s="11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39">
        <f>COUNTIFS(E80:AI81,"✓")/2</f>
        <v>0</v>
      </c>
      <c r="AK80" s="39">
        <f t="shared" ref="AK80" si="38">SUM(O82:AG82)</f>
        <v>0</v>
      </c>
      <c r="AL80" s="44">
        <v>230000</v>
      </c>
      <c r="AM80" s="44">
        <v>25000</v>
      </c>
      <c r="AN80" s="44">
        <f>AL80*AJ80</f>
        <v>0</v>
      </c>
      <c r="AO80" s="44">
        <f>AM80*AK80</f>
        <v>0</v>
      </c>
      <c r="AP80" s="44">
        <f t="shared" ref="AP80" si="39">AL80*AJ80+AM80*AK80</f>
        <v>0</v>
      </c>
    </row>
    <row r="81" spans="1:42">
      <c r="A81" s="40"/>
      <c r="B81" s="40"/>
      <c r="C81" s="43"/>
      <c r="D81" s="10" t="s">
        <v>20</v>
      </c>
      <c r="E81" s="11"/>
      <c r="F81" s="11"/>
      <c r="G81" s="11"/>
      <c r="H81" s="11"/>
      <c r="I81" s="11"/>
      <c r="J81" s="11"/>
      <c r="K81" s="11"/>
      <c r="L81" s="11"/>
      <c r="M81" s="11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40"/>
      <c r="AK81" s="40"/>
      <c r="AL81" s="45"/>
      <c r="AM81" s="45"/>
      <c r="AN81" s="45"/>
      <c r="AO81" s="45"/>
      <c r="AP81" s="45"/>
    </row>
    <row r="82" spans="1:42">
      <c r="A82" s="40"/>
      <c r="B82" s="40"/>
      <c r="C82" s="43"/>
      <c r="D82" s="12" t="s">
        <v>21</v>
      </c>
      <c r="E82" s="11"/>
      <c r="F82" s="11"/>
      <c r="G82" s="11"/>
      <c r="H82" s="11"/>
      <c r="I82" s="11"/>
      <c r="J82" s="11"/>
      <c r="K82" s="11"/>
      <c r="L82" s="11"/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40"/>
      <c r="AK82" s="40"/>
      <c r="AL82" s="46"/>
      <c r="AM82" s="46"/>
      <c r="AN82" s="46"/>
      <c r="AO82" s="46"/>
      <c r="AP82" s="46"/>
    </row>
    <row r="83" spans="1:42">
      <c r="A83" s="39">
        <f t="shared" ref="A83" si="40">A80+1</f>
        <v>27</v>
      </c>
      <c r="B83" s="39"/>
      <c r="C83" s="42" t="s">
        <v>24</v>
      </c>
      <c r="D83" s="10" t="s">
        <v>18</v>
      </c>
      <c r="E83" s="11"/>
      <c r="F83" s="11"/>
      <c r="G83" s="11"/>
      <c r="H83" s="11"/>
      <c r="I83" s="11"/>
      <c r="J83" s="11"/>
      <c r="K83" s="11"/>
      <c r="L83" s="11"/>
      <c r="M83" s="11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39">
        <f>COUNTIFS(E83:AI84,"✓")/2</f>
        <v>0</v>
      </c>
      <c r="AK83" s="39">
        <f t="shared" ref="AK83" si="41">SUM(O85:AG85)</f>
        <v>0</v>
      </c>
      <c r="AL83" s="44">
        <v>230000</v>
      </c>
      <c r="AM83" s="44">
        <v>25000</v>
      </c>
      <c r="AN83" s="44">
        <f>AL83*AJ83</f>
        <v>0</v>
      </c>
      <c r="AO83" s="44">
        <f>AM83*AK83</f>
        <v>0</v>
      </c>
      <c r="AP83" s="44">
        <f t="shared" ref="AP83" si="42">AL83*AJ83+AM83*AK83</f>
        <v>0</v>
      </c>
    </row>
    <row r="84" spans="1:42">
      <c r="A84" s="40"/>
      <c r="B84" s="40"/>
      <c r="C84" s="43"/>
      <c r="D84" s="10" t="s">
        <v>20</v>
      </c>
      <c r="E84" s="11"/>
      <c r="F84" s="11"/>
      <c r="G84" s="11"/>
      <c r="H84" s="11"/>
      <c r="I84" s="11"/>
      <c r="J84" s="11"/>
      <c r="K84" s="11"/>
      <c r="L84" s="11"/>
      <c r="M84" s="11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40"/>
      <c r="AK84" s="40"/>
      <c r="AL84" s="45"/>
      <c r="AM84" s="45"/>
      <c r="AN84" s="45"/>
      <c r="AO84" s="45"/>
      <c r="AP84" s="45"/>
    </row>
    <row r="85" spans="1:42">
      <c r="A85" s="40"/>
      <c r="B85" s="40"/>
      <c r="C85" s="43"/>
      <c r="D85" s="12" t="s">
        <v>21</v>
      </c>
      <c r="E85" s="11"/>
      <c r="F85" s="11"/>
      <c r="G85" s="11"/>
      <c r="H85" s="11"/>
      <c r="I85" s="11"/>
      <c r="J85" s="11"/>
      <c r="K85" s="11"/>
      <c r="L85" s="11"/>
      <c r="M85" s="11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40"/>
      <c r="AK85" s="40"/>
      <c r="AL85" s="46"/>
      <c r="AM85" s="46"/>
      <c r="AN85" s="46"/>
      <c r="AO85" s="46"/>
      <c r="AP85" s="46"/>
    </row>
    <row r="86" spans="1:42">
      <c r="A86" s="39">
        <f t="shared" ref="A86" si="43">A83+1</f>
        <v>28</v>
      </c>
      <c r="B86" s="39"/>
      <c r="C86" s="42" t="s">
        <v>24</v>
      </c>
      <c r="D86" s="10" t="s">
        <v>18</v>
      </c>
      <c r="E86" s="11"/>
      <c r="F86" s="11"/>
      <c r="G86" s="11"/>
      <c r="H86" s="11"/>
      <c r="I86" s="11"/>
      <c r="J86" s="11"/>
      <c r="K86" s="11"/>
      <c r="L86" s="11"/>
      <c r="M86" s="11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39">
        <f t="shared" ref="AJ86" si="44">COUNTIFS(E86:AI87,"✓")/2</f>
        <v>0</v>
      </c>
      <c r="AK86" s="39">
        <f t="shared" ref="AK86" si="45">SUM(O88:AG88)</f>
        <v>0</v>
      </c>
      <c r="AL86" s="44">
        <v>230000</v>
      </c>
      <c r="AM86" s="44">
        <v>25000</v>
      </c>
      <c r="AN86" s="44">
        <f t="shared" ref="AN86:AO86" si="46">AL86*AJ86</f>
        <v>0</v>
      </c>
      <c r="AO86" s="44">
        <f t="shared" si="46"/>
        <v>0</v>
      </c>
      <c r="AP86" s="44">
        <f t="shared" ref="AP86" si="47">AL86*AJ86+AM86*AK86</f>
        <v>0</v>
      </c>
    </row>
    <row r="87" spans="1:42">
      <c r="A87" s="40"/>
      <c r="B87" s="40"/>
      <c r="C87" s="43"/>
      <c r="D87" s="10" t="s">
        <v>20</v>
      </c>
      <c r="E87" s="11"/>
      <c r="F87" s="11"/>
      <c r="G87" s="11"/>
      <c r="H87" s="11"/>
      <c r="I87" s="11"/>
      <c r="J87" s="11"/>
      <c r="K87" s="11"/>
      <c r="L87" s="11"/>
      <c r="M87" s="11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40"/>
      <c r="AK87" s="40"/>
      <c r="AL87" s="45"/>
      <c r="AM87" s="45"/>
      <c r="AN87" s="45"/>
      <c r="AO87" s="45"/>
      <c r="AP87" s="45"/>
    </row>
    <row r="88" spans="1:42">
      <c r="A88" s="40"/>
      <c r="B88" s="40"/>
      <c r="C88" s="43"/>
      <c r="D88" s="12" t="s">
        <v>21</v>
      </c>
      <c r="E88" s="11"/>
      <c r="F88" s="11"/>
      <c r="G88" s="11"/>
      <c r="H88" s="11"/>
      <c r="I88" s="11"/>
      <c r="J88" s="11"/>
      <c r="K88" s="11"/>
      <c r="L88" s="11"/>
      <c r="M88" s="11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40"/>
      <c r="AK88" s="40"/>
      <c r="AL88" s="46"/>
      <c r="AM88" s="46"/>
      <c r="AN88" s="46"/>
      <c r="AO88" s="46"/>
      <c r="AP88" s="46"/>
    </row>
    <row r="89" spans="1:42">
      <c r="A89" s="39">
        <f t="shared" ref="A89" si="48">A86+1</f>
        <v>29</v>
      </c>
      <c r="B89" s="39"/>
      <c r="C89" s="68"/>
      <c r="D89" s="10" t="s">
        <v>18</v>
      </c>
      <c r="E89" s="11"/>
      <c r="F89" s="11"/>
      <c r="G89" s="11"/>
      <c r="H89" s="11"/>
      <c r="I89" s="11"/>
      <c r="J89" s="11"/>
      <c r="K89" s="11"/>
      <c r="L89" s="11"/>
      <c r="M89" s="11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39">
        <f t="shared" ref="AJ89" si="49">COUNTIFS(E89:AI90,"✓")/2</f>
        <v>0</v>
      </c>
      <c r="AK89" s="39">
        <f t="shared" ref="AK89" si="50">SUM(O91:AG91)</f>
        <v>0</v>
      </c>
      <c r="AL89" s="44">
        <v>230000</v>
      </c>
      <c r="AM89" s="44">
        <v>25000</v>
      </c>
      <c r="AN89" s="44">
        <f t="shared" ref="AN89:AO89" si="51">AL89*AJ89</f>
        <v>0</v>
      </c>
      <c r="AO89" s="44">
        <f t="shared" si="51"/>
        <v>0</v>
      </c>
      <c r="AP89" s="44">
        <f t="shared" ref="AP89" si="52">AL89*AJ89+AM89*AK89</f>
        <v>0</v>
      </c>
    </row>
    <row r="90" spans="1:42">
      <c r="A90" s="40"/>
      <c r="B90" s="40"/>
      <c r="C90" s="68"/>
      <c r="D90" s="10" t="s">
        <v>20</v>
      </c>
      <c r="E90" s="11"/>
      <c r="F90" s="11"/>
      <c r="G90" s="11"/>
      <c r="H90" s="11"/>
      <c r="I90" s="11"/>
      <c r="J90" s="11"/>
      <c r="K90" s="11"/>
      <c r="L90" s="11"/>
      <c r="M90" s="11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40"/>
      <c r="AK90" s="40"/>
      <c r="AL90" s="45"/>
      <c r="AM90" s="45"/>
      <c r="AN90" s="45"/>
      <c r="AO90" s="45"/>
      <c r="AP90" s="45"/>
    </row>
    <row r="91" spans="1:42">
      <c r="A91" s="40"/>
      <c r="B91" s="40"/>
      <c r="C91" s="68"/>
      <c r="D91" s="12" t="s">
        <v>21</v>
      </c>
      <c r="E91" s="11"/>
      <c r="F91" s="11"/>
      <c r="G91" s="11"/>
      <c r="H91" s="11"/>
      <c r="I91" s="11"/>
      <c r="J91" s="11"/>
      <c r="K91" s="11"/>
      <c r="L91" s="11"/>
      <c r="M91" s="11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40"/>
      <c r="AK91" s="40"/>
      <c r="AL91" s="46"/>
      <c r="AM91" s="46"/>
      <c r="AN91" s="46"/>
      <c r="AO91" s="46"/>
      <c r="AP91" s="46"/>
    </row>
    <row r="92" spans="1:42">
      <c r="A92" s="39">
        <f t="shared" ref="A92" si="53">A89+1</f>
        <v>30</v>
      </c>
      <c r="B92" s="39"/>
      <c r="C92" s="68"/>
      <c r="D92" s="10" t="s">
        <v>18</v>
      </c>
      <c r="E92" s="11"/>
      <c r="F92" s="11"/>
      <c r="G92" s="11"/>
      <c r="H92" s="11"/>
      <c r="I92" s="11"/>
      <c r="J92" s="11"/>
      <c r="K92" s="11"/>
      <c r="L92" s="11"/>
      <c r="M92" s="11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39">
        <f t="shared" ref="AJ92" si="54">COUNTIFS(E92:AI93,"✓")/2</f>
        <v>0</v>
      </c>
      <c r="AK92" s="39">
        <f t="shared" ref="AK92" si="55">SUM(O94:AG94)</f>
        <v>0</v>
      </c>
      <c r="AL92" s="44">
        <v>230000</v>
      </c>
      <c r="AM92" s="44">
        <v>25000</v>
      </c>
      <c r="AN92" s="44">
        <f t="shared" ref="AN92:AO92" si="56">AL92*AJ92</f>
        <v>0</v>
      </c>
      <c r="AO92" s="44">
        <f t="shared" si="56"/>
        <v>0</v>
      </c>
      <c r="AP92" s="44">
        <f t="shared" ref="AP92" si="57">AL92*AJ92+AM92*AK92</f>
        <v>0</v>
      </c>
    </row>
    <row r="93" spans="1:42">
      <c r="A93" s="40"/>
      <c r="B93" s="40"/>
      <c r="C93" s="68"/>
      <c r="D93" s="10" t="s">
        <v>20</v>
      </c>
      <c r="E93" s="11"/>
      <c r="F93" s="11"/>
      <c r="G93" s="11"/>
      <c r="H93" s="11"/>
      <c r="I93" s="11"/>
      <c r="J93" s="11"/>
      <c r="K93" s="11"/>
      <c r="L93" s="11"/>
      <c r="M93" s="11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40"/>
      <c r="AK93" s="40"/>
      <c r="AL93" s="45"/>
      <c r="AM93" s="45"/>
      <c r="AN93" s="45"/>
      <c r="AO93" s="45"/>
      <c r="AP93" s="45"/>
    </row>
    <row r="94" spans="1:42">
      <c r="A94" s="40"/>
      <c r="B94" s="40"/>
      <c r="C94" s="68"/>
      <c r="D94" s="12" t="s">
        <v>21</v>
      </c>
      <c r="E94" s="11"/>
      <c r="F94" s="11"/>
      <c r="G94" s="11"/>
      <c r="H94" s="11"/>
      <c r="I94" s="11"/>
      <c r="J94" s="11"/>
      <c r="K94" s="11"/>
      <c r="L94" s="11"/>
      <c r="M94" s="11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40"/>
      <c r="AK94" s="40"/>
      <c r="AL94" s="46"/>
      <c r="AM94" s="46"/>
      <c r="AN94" s="46"/>
      <c r="AO94" s="46"/>
      <c r="AP94" s="46"/>
    </row>
    <row r="95" spans="1:42">
      <c r="A95" s="39">
        <f t="shared" ref="A95" si="58">A92+1</f>
        <v>31</v>
      </c>
      <c r="B95" s="39"/>
      <c r="C95" s="68"/>
      <c r="D95" s="10" t="s">
        <v>18</v>
      </c>
      <c r="E95" s="11"/>
      <c r="F95" s="11"/>
      <c r="G95" s="11"/>
      <c r="H95" s="11"/>
      <c r="I95" s="11"/>
      <c r="J95" s="11"/>
      <c r="K95" s="11"/>
      <c r="L95" s="11"/>
      <c r="M95" s="11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39">
        <f t="shared" ref="AJ95" si="59">COUNTIFS(E95:AI96,"✓")/2</f>
        <v>0</v>
      </c>
      <c r="AK95" s="39">
        <f t="shared" ref="AK95" si="60">SUM(O97:AG97)</f>
        <v>0</v>
      </c>
      <c r="AL95" s="44">
        <v>230000</v>
      </c>
      <c r="AM95" s="44">
        <v>25000</v>
      </c>
      <c r="AN95" s="44">
        <f t="shared" ref="AN95:AO95" si="61">AL95*AJ95</f>
        <v>0</v>
      </c>
      <c r="AO95" s="44">
        <f t="shared" si="61"/>
        <v>0</v>
      </c>
      <c r="AP95" s="44">
        <f t="shared" ref="AP95" si="62">AL95*AJ95+AM95*AK95</f>
        <v>0</v>
      </c>
    </row>
    <row r="96" spans="1:42">
      <c r="A96" s="40"/>
      <c r="B96" s="40"/>
      <c r="C96" s="68"/>
      <c r="D96" s="10" t="s">
        <v>20</v>
      </c>
      <c r="E96" s="11"/>
      <c r="F96" s="11"/>
      <c r="G96" s="11"/>
      <c r="H96" s="11"/>
      <c r="I96" s="11"/>
      <c r="J96" s="11"/>
      <c r="K96" s="11"/>
      <c r="L96" s="11"/>
      <c r="M96" s="11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40"/>
      <c r="AK96" s="40"/>
      <c r="AL96" s="45"/>
      <c r="AM96" s="45"/>
      <c r="AN96" s="45"/>
      <c r="AO96" s="45"/>
      <c r="AP96" s="45"/>
    </row>
    <row r="97" spans="1:42">
      <c r="A97" s="40"/>
      <c r="B97" s="40"/>
      <c r="C97" s="75"/>
      <c r="D97" s="12" t="s">
        <v>21</v>
      </c>
      <c r="E97" s="11"/>
      <c r="F97" s="11"/>
      <c r="G97" s="11"/>
      <c r="H97" s="11"/>
      <c r="I97" s="11"/>
      <c r="J97" s="11"/>
      <c r="K97" s="11"/>
      <c r="L97" s="11"/>
      <c r="M97" s="11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40"/>
      <c r="AK97" s="40"/>
      <c r="AL97" s="46"/>
      <c r="AM97" s="46"/>
      <c r="AN97" s="46"/>
      <c r="AO97" s="46"/>
      <c r="AP97" s="46"/>
    </row>
    <row r="98" spans="1:42">
      <c r="A98" s="39">
        <f t="shared" ref="A98:A161" si="63">A95+1</f>
        <v>32</v>
      </c>
      <c r="B98" s="39"/>
      <c r="C98" s="68"/>
      <c r="D98" s="10" t="s">
        <v>18</v>
      </c>
      <c r="E98" s="11"/>
      <c r="F98" s="11"/>
      <c r="G98" s="11"/>
      <c r="H98" s="11"/>
      <c r="I98" s="11"/>
      <c r="J98" s="11"/>
      <c r="K98" s="11"/>
      <c r="L98" s="11"/>
      <c r="M98" s="11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39">
        <f t="shared" ref="AJ98" si="64">COUNTIFS(E98:AI99,"✓")/2</f>
        <v>0</v>
      </c>
      <c r="AK98" s="39">
        <f t="shared" ref="AK98" si="65">SUM(O100:AG100)</f>
        <v>0</v>
      </c>
      <c r="AL98" s="44">
        <v>230000</v>
      </c>
      <c r="AM98" s="44">
        <v>25000</v>
      </c>
      <c r="AN98" s="44">
        <f t="shared" ref="AN98:AO98" si="66">AL98*AJ98</f>
        <v>0</v>
      </c>
      <c r="AO98" s="44">
        <f t="shared" si="66"/>
        <v>0</v>
      </c>
      <c r="AP98" s="44">
        <f t="shared" ref="AP98" si="67">AL98*AJ98+AM98*AK98</f>
        <v>0</v>
      </c>
    </row>
    <row r="99" spans="1:42">
      <c r="A99" s="40"/>
      <c r="B99" s="40"/>
      <c r="C99" s="68"/>
      <c r="D99" s="10" t="s">
        <v>20</v>
      </c>
      <c r="E99" s="11"/>
      <c r="F99" s="11"/>
      <c r="G99" s="11"/>
      <c r="H99" s="11"/>
      <c r="I99" s="11"/>
      <c r="J99" s="11"/>
      <c r="K99" s="11"/>
      <c r="L99" s="11"/>
      <c r="M99" s="11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40"/>
      <c r="AK99" s="40"/>
      <c r="AL99" s="45"/>
      <c r="AM99" s="45"/>
      <c r="AN99" s="45"/>
      <c r="AO99" s="45"/>
      <c r="AP99" s="45"/>
    </row>
    <row r="100" spans="1:42">
      <c r="A100" s="40"/>
      <c r="B100" s="40"/>
      <c r="C100" s="68"/>
      <c r="D100" s="12" t="s">
        <v>21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40"/>
      <c r="AK100" s="40"/>
      <c r="AL100" s="46"/>
      <c r="AM100" s="46"/>
      <c r="AN100" s="46"/>
      <c r="AO100" s="46"/>
      <c r="AP100" s="46"/>
    </row>
    <row r="101" spans="1:42">
      <c r="A101" s="39">
        <f t="shared" ref="A101:A164" si="68">A98+1</f>
        <v>33</v>
      </c>
      <c r="B101" s="39"/>
      <c r="C101" s="68"/>
      <c r="D101" s="10" t="s">
        <v>18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9">
        <f t="shared" ref="AJ101" si="69">COUNTIFS(E101:AI102,"✓")/2</f>
        <v>0</v>
      </c>
      <c r="AK101" s="39">
        <f t="shared" ref="AK101" si="70">SUM(O103:AG103)</f>
        <v>0</v>
      </c>
      <c r="AL101" s="44">
        <v>230000</v>
      </c>
      <c r="AM101" s="44">
        <v>25000</v>
      </c>
      <c r="AN101" s="44">
        <f t="shared" ref="AN101:AO101" si="71">AL101*AJ101</f>
        <v>0</v>
      </c>
      <c r="AO101" s="44">
        <f t="shared" si="71"/>
        <v>0</v>
      </c>
      <c r="AP101" s="44">
        <f t="shared" ref="AP101" si="72">AL101*AJ101+AM101*AK101</f>
        <v>0</v>
      </c>
    </row>
    <row r="102" spans="1:42">
      <c r="A102" s="40"/>
      <c r="B102" s="40"/>
      <c r="C102" s="68"/>
      <c r="D102" s="10" t="s">
        <v>20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40"/>
      <c r="AK102" s="40"/>
      <c r="AL102" s="45"/>
      <c r="AM102" s="45"/>
      <c r="AN102" s="45"/>
      <c r="AO102" s="45"/>
      <c r="AP102" s="45"/>
    </row>
    <row r="103" spans="1:42">
      <c r="A103" s="40"/>
      <c r="B103" s="40"/>
      <c r="C103" s="68"/>
      <c r="D103" s="12" t="s">
        <v>21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40"/>
      <c r="AK103" s="40"/>
      <c r="AL103" s="46"/>
      <c r="AM103" s="46"/>
      <c r="AN103" s="46"/>
      <c r="AO103" s="46"/>
      <c r="AP103" s="46"/>
    </row>
    <row r="104" spans="1:42">
      <c r="A104" s="39">
        <f t="shared" si="63"/>
        <v>34</v>
      </c>
      <c r="B104" s="39"/>
      <c r="C104" s="68"/>
      <c r="D104" s="10" t="s">
        <v>18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39">
        <f t="shared" ref="AJ104" si="73">COUNTIFS(E104:AI105,"✓")/2</f>
        <v>0</v>
      </c>
      <c r="AK104" s="39">
        <f t="shared" ref="AK104" si="74">SUM(O106:AG106)</f>
        <v>0</v>
      </c>
      <c r="AL104" s="44">
        <v>230000</v>
      </c>
      <c r="AM104" s="44">
        <v>25000</v>
      </c>
      <c r="AN104" s="44">
        <f t="shared" ref="AN104:AO104" si="75">AL104*AJ104</f>
        <v>0</v>
      </c>
      <c r="AO104" s="44">
        <f t="shared" si="75"/>
        <v>0</v>
      </c>
      <c r="AP104" s="44">
        <f t="shared" ref="AP104" si="76">AL104*AJ104+AM104*AK104</f>
        <v>0</v>
      </c>
    </row>
    <row r="105" spans="1:42">
      <c r="A105" s="40"/>
      <c r="B105" s="40"/>
      <c r="C105" s="68"/>
      <c r="D105" s="10" t="s">
        <v>20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40"/>
      <c r="AK105" s="40"/>
      <c r="AL105" s="45"/>
      <c r="AM105" s="45"/>
      <c r="AN105" s="45"/>
      <c r="AO105" s="45"/>
      <c r="AP105" s="45"/>
    </row>
    <row r="106" spans="1:42">
      <c r="A106" s="40"/>
      <c r="B106" s="40"/>
      <c r="C106" s="68"/>
      <c r="D106" s="12" t="s">
        <v>21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40"/>
      <c r="AK106" s="40"/>
      <c r="AL106" s="46"/>
      <c r="AM106" s="46"/>
      <c r="AN106" s="46"/>
      <c r="AO106" s="46"/>
      <c r="AP106" s="46"/>
    </row>
    <row r="107" spans="1:42">
      <c r="A107" s="39">
        <f t="shared" si="68"/>
        <v>35</v>
      </c>
      <c r="B107" s="39"/>
      <c r="C107" s="68"/>
      <c r="D107" s="10" t="s">
        <v>18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39">
        <f t="shared" ref="AJ107" si="77">COUNTIFS(E107:AI108,"✓")/2</f>
        <v>0</v>
      </c>
      <c r="AK107" s="39">
        <f t="shared" ref="AK107" si="78">SUM(O109:AG109)</f>
        <v>0</v>
      </c>
      <c r="AL107" s="44">
        <v>230000</v>
      </c>
      <c r="AM107" s="44">
        <v>25000</v>
      </c>
      <c r="AN107" s="44">
        <f t="shared" ref="AN107:AO107" si="79">AL107*AJ107</f>
        <v>0</v>
      </c>
      <c r="AO107" s="44">
        <f t="shared" si="79"/>
        <v>0</v>
      </c>
      <c r="AP107" s="44">
        <f t="shared" ref="AP107" si="80">AL107*AJ107+AM107*AK107</f>
        <v>0</v>
      </c>
    </row>
    <row r="108" spans="1:42">
      <c r="A108" s="40"/>
      <c r="B108" s="40"/>
      <c r="C108" s="68"/>
      <c r="D108" s="10" t="s">
        <v>20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40"/>
      <c r="AK108" s="40"/>
      <c r="AL108" s="45"/>
      <c r="AM108" s="45"/>
      <c r="AN108" s="45"/>
      <c r="AO108" s="45"/>
      <c r="AP108" s="45"/>
    </row>
    <row r="109" spans="1:42">
      <c r="A109" s="40"/>
      <c r="B109" s="40"/>
      <c r="C109" s="68"/>
      <c r="D109" s="12" t="s">
        <v>21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40"/>
      <c r="AK109" s="40"/>
      <c r="AL109" s="46"/>
      <c r="AM109" s="46"/>
      <c r="AN109" s="46"/>
      <c r="AO109" s="46"/>
      <c r="AP109" s="46"/>
    </row>
    <row r="110" spans="1:42">
      <c r="A110" s="39">
        <f t="shared" si="63"/>
        <v>36</v>
      </c>
      <c r="B110" s="39"/>
      <c r="C110" s="68"/>
      <c r="D110" s="10" t="s">
        <v>18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39">
        <f t="shared" ref="AJ110" si="81">COUNTIFS(E110:AI111,"✓")/2</f>
        <v>0</v>
      </c>
      <c r="AK110" s="39">
        <f t="shared" ref="AK110" si="82">SUM(O112:AG112)</f>
        <v>0</v>
      </c>
      <c r="AL110" s="44">
        <v>230000</v>
      </c>
      <c r="AM110" s="44">
        <v>25000</v>
      </c>
      <c r="AN110" s="44">
        <f t="shared" ref="AN110:AO110" si="83">AL110*AJ110</f>
        <v>0</v>
      </c>
      <c r="AO110" s="44">
        <f t="shared" si="83"/>
        <v>0</v>
      </c>
      <c r="AP110" s="44">
        <f t="shared" ref="AP110" si="84">AL110*AJ110+AM110*AK110</f>
        <v>0</v>
      </c>
    </row>
    <row r="111" spans="1:42">
      <c r="A111" s="40"/>
      <c r="B111" s="40"/>
      <c r="C111" s="68"/>
      <c r="D111" s="10" t="s">
        <v>20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40"/>
      <c r="AK111" s="40"/>
      <c r="AL111" s="45"/>
      <c r="AM111" s="45"/>
      <c r="AN111" s="45"/>
      <c r="AO111" s="45"/>
      <c r="AP111" s="45"/>
    </row>
    <row r="112" spans="1:42">
      <c r="A112" s="40"/>
      <c r="B112" s="40"/>
      <c r="C112" s="68"/>
      <c r="D112" s="12" t="s">
        <v>21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40"/>
      <c r="AK112" s="40"/>
      <c r="AL112" s="46"/>
      <c r="AM112" s="46"/>
      <c r="AN112" s="46"/>
      <c r="AO112" s="46"/>
      <c r="AP112" s="46"/>
    </row>
    <row r="113" spans="1:42">
      <c r="A113" s="39">
        <f t="shared" si="68"/>
        <v>37</v>
      </c>
      <c r="B113" s="39"/>
      <c r="C113" s="68"/>
      <c r="D113" s="10" t="s">
        <v>18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39">
        <f t="shared" ref="AJ113" si="85">COUNTIFS(E113:AI114,"✓")/2</f>
        <v>0</v>
      </c>
      <c r="AK113" s="39">
        <f t="shared" ref="AK113" si="86">SUM(O115:AG115)</f>
        <v>0</v>
      </c>
      <c r="AL113" s="44">
        <v>230000</v>
      </c>
      <c r="AM113" s="44">
        <v>25000</v>
      </c>
      <c r="AN113" s="44">
        <f t="shared" ref="AN113:AO113" si="87">AL113*AJ113</f>
        <v>0</v>
      </c>
      <c r="AO113" s="44">
        <f t="shared" si="87"/>
        <v>0</v>
      </c>
      <c r="AP113" s="44">
        <f t="shared" ref="AP113" si="88">AL113*AJ113+AM113*AK113</f>
        <v>0</v>
      </c>
    </row>
    <row r="114" spans="1:42">
      <c r="A114" s="40"/>
      <c r="B114" s="40"/>
      <c r="C114" s="68"/>
      <c r="D114" s="10" t="s">
        <v>20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40"/>
      <c r="AK114" s="40"/>
      <c r="AL114" s="45"/>
      <c r="AM114" s="45"/>
      <c r="AN114" s="45"/>
      <c r="AO114" s="45"/>
      <c r="AP114" s="45"/>
    </row>
    <row r="115" spans="1:42">
      <c r="A115" s="40"/>
      <c r="B115" s="40"/>
      <c r="C115" s="68"/>
      <c r="D115" s="12" t="s">
        <v>21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40"/>
      <c r="AK115" s="40"/>
      <c r="AL115" s="46"/>
      <c r="AM115" s="46"/>
      <c r="AN115" s="46"/>
      <c r="AO115" s="46"/>
      <c r="AP115" s="46"/>
    </row>
    <row r="116" spans="1:42">
      <c r="A116" s="39">
        <f t="shared" si="63"/>
        <v>38</v>
      </c>
      <c r="B116" s="39"/>
      <c r="C116" s="68"/>
      <c r="D116" s="10" t="s">
        <v>18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39">
        <f t="shared" ref="AJ116" si="89">COUNTIFS(E116:AI117,"✓")/2</f>
        <v>0</v>
      </c>
      <c r="AK116" s="39">
        <f t="shared" ref="AK116" si="90">SUM(O118:AG118)</f>
        <v>0</v>
      </c>
      <c r="AL116" s="44">
        <v>230000</v>
      </c>
      <c r="AM116" s="44">
        <v>25000</v>
      </c>
      <c r="AN116" s="44">
        <f t="shared" ref="AN116:AO116" si="91">AL116*AJ116</f>
        <v>0</v>
      </c>
      <c r="AO116" s="44">
        <f t="shared" si="91"/>
        <v>0</v>
      </c>
      <c r="AP116" s="44">
        <f t="shared" ref="AP116" si="92">AL116*AJ116+AM116*AK116</f>
        <v>0</v>
      </c>
    </row>
    <row r="117" spans="1:42">
      <c r="A117" s="40"/>
      <c r="B117" s="40"/>
      <c r="C117" s="68"/>
      <c r="D117" s="10" t="s">
        <v>20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40"/>
      <c r="AK117" s="40"/>
      <c r="AL117" s="45"/>
      <c r="AM117" s="45"/>
      <c r="AN117" s="45"/>
      <c r="AO117" s="45"/>
      <c r="AP117" s="45"/>
    </row>
    <row r="118" spans="1:42">
      <c r="A118" s="40"/>
      <c r="B118" s="40"/>
      <c r="C118" s="68"/>
      <c r="D118" s="12" t="s">
        <v>21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40"/>
      <c r="AK118" s="40"/>
      <c r="AL118" s="46"/>
      <c r="AM118" s="46"/>
      <c r="AN118" s="46"/>
      <c r="AO118" s="46"/>
      <c r="AP118" s="46"/>
    </row>
    <row r="119" spans="1:42">
      <c r="A119" s="39">
        <f t="shared" si="68"/>
        <v>39</v>
      </c>
      <c r="B119" s="39"/>
      <c r="C119" s="68"/>
      <c r="D119" s="10" t="s">
        <v>18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39">
        <f t="shared" ref="AJ119" si="93">COUNTIFS(E119:AI120,"✓")/2</f>
        <v>0</v>
      </c>
      <c r="AK119" s="39">
        <f t="shared" ref="AK119" si="94">SUM(O121:AG121)</f>
        <v>0</v>
      </c>
      <c r="AL119" s="44">
        <v>230000</v>
      </c>
      <c r="AM119" s="44">
        <v>25000</v>
      </c>
      <c r="AN119" s="44">
        <f t="shared" ref="AN119:AO119" si="95">AL119*AJ119</f>
        <v>0</v>
      </c>
      <c r="AO119" s="44">
        <f t="shared" si="95"/>
        <v>0</v>
      </c>
      <c r="AP119" s="44">
        <f t="shared" ref="AP119" si="96">AL119*AJ119+AM119*AK119</f>
        <v>0</v>
      </c>
    </row>
    <row r="120" spans="1:42">
      <c r="A120" s="40"/>
      <c r="B120" s="40"/>
      <c r="C120" s="68"/>
      <c r="D120" s="10" t="s">
        <v>20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40"/>
      <c r="AK120" s="40"/>
      <c r="AL120" s="45"/>
      <c r="AM120" s="45"/>
      <c r="AN120" s="45"/>
      <c r="AO120" s="45"/>
      <c r="AP120" s="45"/>
    </row>
    <row r="121" spans="1:42">
      <c r="A121" s="40"/>
      <c r="B121" s="40"/>
      <c r="C121" s="68"/>
      <c r="D121" s="12" t="s">
        <v>21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40"/>
      <c r="AK121" s="40"/>
      <c r="AL121" s="46"/>
      <c r="AM121" s="46"/>
      <c r="AN121" s="46"/>
      <c r="AO121" s="46"/>
      <c r="AP121" s="46"/>
    </row>
    <row r="122" spans="1:42">
      <c r="A122" s="39">
        <f t="shared" si="63"/>
        <v>40</v>
      </c>
      <c r="B122" s="39"/>
      <c r="C122" s="68"/>
      <c r="D122" s="10" t="s">
        <v>18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39">
        <f t="shared" ref="AJ122" si="97">COUNTIFS(E122:AI123,"✓")/2</f>
        <v>0</v>
      </c>
      <c r="AK122" s="39">
        <f t="shared" ref="AK122" si="98">SUM(O124:AG124)</f>
        <v>0</v>
      </c>
      <c r="AL122" s="44">
        <v>230000</v>
      </c>
      <c r="AM122" s="44">
        <v>25000</v>
      </c>
      <c r="AN122" s="44">
        <f t="shared" ref="AN122:AO122" si="99">AL122*AJ122</f>
        <v>0</v>
      </c>
      <c r="AO122" s="44">
        <f t="shared" si="99"/>
        <v>0</v>
      </c>
      <c r="AP122" s="44">
        <f t="shared" ref="AP122" si="100">AL122*AJ122+AM122*AK122</f>
        <v>0</v>
      </c>
    </row>
    <row r="123" spans="1:42">
      <c r="A123" s="40"/>
      <c r="B123" s="40"/>
      <c r="C123" s="68"/>
      <c r="D123" s="10" t="s">
        <v>20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40"/>
      <c r="AK123" s="40"/>
      <c r="AL123" s="45"/>
      <c r="AM123" s="45"/>
      <c r="AN123" s="45"/>
      <c r="AO123" s="45"/>
      <c r="AP123" s="45"/>
    </row>
    <row r="124" spans="1:42">
      <c r="A124" s="40"/>
      <c r="B124" s="40"/>
      <c r="C124" s="68"/>
      <c r="D124" s="12" t="s">
        <v>21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40"/>
      <c r="AK124" s="40"/>
      <c r="AL124" s="46"/>
      <c r="AM124" s="46"/>
      <c r="AN124" s="46"/>
      <c r="AO124" s="46"/>
      <c r="AP124" s="46"/>
    </row>
    <row r="125" spans="1:42">
      <c r="A125" s="39">
        <f t="shared" si="68"/>
        <v>41</v>
      </c>
      <c r="B125" s="39"/>
      <c r="C125" s="68"/>
      <c r="D125" s="10" t="s">
        <v>18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39">
        <f t="shared" ref="AJ125" si="101">COUNTIFS(E125:AI126,"✓")/2</f>
        <v>0</v>
      </c>
      <c r="AK125" s="39">
        <f t="shared" ref="AK125" si="102">SUM(O127:AG127)</f>
        <v>0</v>
      </c>
      <c r="AL125" s="44">
        <v>230000</v>
      </c>
      <c r="AM125" s="44">
        <v>25000</v>
      </c>
      <c r="AN125" s="44">
        <f t="shared" ref="AN125:AO125" si="103">AL125*AJ125</f>
        <v>0</v>
      </c>
      <c r="AO125" s="44">
        <f t="shared" si="103"/>
        <v>0</v>
      </c>
      <c r="AP125" s="44">
        <f t="shared" ref="AP125" si="104">AL125*AJ125+AM125*AK125</f>
        <v>0</v>
      </c>
    </row>
    <row r="126" spans="1:42">
      <c r="A126" s="40"/>
      <c r="B126" s="40"/>
      <c r="C126" s="68"/>
      <c r="D126" s="10" t="s">
        <v>20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40"/>
      <c r="AK126" s="40"/>
      <c r="AL126" s="45"/>
      <c r="AM126" s="45"/>
      <c r="AN126" s="45"/>
      <c r="AO126" s="45"/>
      <c r="AP126" s="45"/>
    </row>
    <row r="127" spans="1:42">
      <c r="A127" s="40"/>
      <c r="B127" s="40"/>
      <c r="C127" s="68"/>
      <c r="D127" s="12" t="s">
        <v>21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40"/>
      <c r="AK127" s="40"/>
      <c r="AL127" s="46"/>
      <c r="AM127" s="46"/>
      <c r="AN127" s="46"/>
      <c r="AO127" s="46"/>
      <c r="AP127" s="46"/>
    </row>
    <row r="128" spans="1:42">
      <c r="A128" s="39">
        <f t="shared" si="63"/>
        <v>42</v>
      </c>
      <c r="B128" s="39"/>
      <c r="C128" s="68"/>
      <c r="D128" s="10" t="s">
        <v>18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39">
        <f t="shared" ref="AJ128" si="105">COUNTIFS(E128:AI129,"✓")/2</f>
        <v>0</v>
      </c>
      <c r="AK128" s="39">
        <f t="shared" ref="AK128" si="106">SUM(O130:AG130)</f>
        <v>0</v>
      </c>
      <c r="AL128" s="44">
        <v>230000</v>
      </c>
      <c r="AM128" s="44">
        <v>25000</v>
      </c>
      <c r="AN128" s="44">
        <f t="shared" ref="AN128:AO128" si="107">AL128*AJ128</f>
        <v>0</v>
      </c>
      <c r="AO128" s="44">
        <f t="shared" si="107"/>
        <v>0</v>
      </c>
      <c r="AP128" s="44">
        <f t="shared" ref="AP128" si="108">AL128*AJ128+AM128*AK128</f>
        <v>0</v>
      </c>
    </row>
    <row r="129" spans="1:42">
      <c r="A129" s="40"/>
      <c r="B129" s="40"/>
      <c r="C129" s="68"/>
      <c r="D129" s="10" t="s">
        <v>20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40"/>
      <c r="AK129" s="40"/>
      <c r="AL129" s="45"/>
      <c r="AM129" s="45"/>
      <c r="AN129" s="45"/>
      <c r="AO129" s="45"/>
      <c r="AP129" s="45"/>
    </row>
    <row r="130" spans="1:42">
      <c r="A130" s="40"/>
      <c r="B130" s="40"/>
      <c r="C130" s="68"/>
      <c r="D130" s="12" t="s">
        <v>21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40"/>
      <c r="AK130" s="40"/>
      <c r="AL130" s="46"/>
      <c r="AM130" s="46"/>
      <c r="AN130" s="46"/>
      <c r="AO130" s="46"/>
      <c r="AP130" s="46"/>
    </row>
    <row r="131" spans="1:42">
      <c r="A131" s="39">
        <f>A125+1</f>
        <v>42</v>
      </c>
      <c r="B131" s="39"/>
      <c r="C131" s="68"/>
      <c r="D131" s="10" t="s">
        <v>18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39">
        <f t="shared" ref="AJ131" si="109">COUNTIFS(E131:AI132,"✓")/2</f>
        <v>0</v>
      </c>
      <c r="AK131" s="39">
        <f t="shared" ref="AK131" si="110">SUM(O133:AG133)</f>
        <v>0</v>
      </c>
      <c r="AL131" s="44">
        <v>230000</v>
      </c>
      <c r="AM131" s="44">
        <v>25000</v>
      </c>
      <c r="AN131" s="44">
        <f t="shared" ref="AN131:AO131" si="111">AL131*AJ131</f>
        <v>0</v>
      </c>
      <c r="AO131" s="44">
        <f t="shared" si="111"/>
        <v>0</v>
      </c>
      <c r="AP131" s="44">
        <f t="shared" ref="AP131" si="112">AL131*AJ131+AM131*AK131</f>
        <v>0</v>
      </c>
    </row>
    <row r="132" spans="1:42">
      <c r="A132" s="40"/>
      <c r="B132" s="40"/>
      <c r="C132" s="68"/>
      <c r="D132" s="10" t="s">
        <v>20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40"/>
      <c r="AK132" s="40"/>
      <c r="AL132" s="45"/>
      <c r="AM132" s="45"/>
      <c r="AN132" s="45"/>
      <c r="AO132" s="45"/>
      <c r="AP132" s="45"/>
    </row>
    <row r="133" spans="1:42">
      <c r="A133" s="40"/>
      <c r="B133" s="40"/>
      <c r="C133" s="68"/>
      <c r="D133" s="12" t="s">
        <v>21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40"/>
      <c r="AK133" s="40"/>
      <c r="AL133" s="46"/>
      <c r="AM133" s="46"/>
      <c r="AN133" s="46"/>
      <c r="AO133" s="46"/>
      <c r="AP133" s="46"/>
    </row>
    <row r="134" spans="1:42">
      <c r="A134" s="39">
        <f t="shared" si="68"/>
        <v>43</v>
      </c>
      <c r="B134" s="39"/>
      <c r="C134" s="68"/>
      <c r="D134" s="10" t="s">
        <v>18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39">
        <f t="shared" ref="AJ134" si="113">COUNTIFS(E134:AI135,"✓")/2</f>
        <v>0</v>
      </c>
      <c r="AK134" s="39">
        <f t="shared" ref="AK134" si="114">SUM(O136:AG136)</f>
        <v>0</v>
      </c>
      <c r="AL134" s="44">
        <v>230000</v>
      </c>
      <c r="AM134" s="44">
        <v>25000</v>
      </c>
      <c r="AN134" s="44">
        <f t="shared" ref="AN134:AO134" si="115">AL134*AJ134</f>
        <v>0</v>
      </c>
      <c r="AO134" s="44">
        <f t="shared" si="115"/>
        <v>0</v>
      </c>
      <c r="AP134" s="44">
        <f t="shared" ref="AP134" si="116">AL134*AJ134+AM134*AK134</f>
        <v>0</v>
      </c>
    </row>
    <row r="135" spans="1:42">
      <c r="A135" s="40"/>
      <c r="B135" s="40"/>
      <c r="C135" s="68"/>
      <c r="D135" s="10" t="s">
        <v>20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40"/>
      <c r="AK135" s="40"/>
      <c r="AL135" s="45"/>
      <c r="AM135" s="45"/>
      <c r="AN135" s="45"/>
      <c r="AO135" s="45"/>
      <c r="AP135" s="45"/>
    </row>
    <row r="136" spans="1:42">
      <c r="A136" s="40"/>
      <c r="B136" s="40"/>
      <c r="C136" s="68"/>
      <c r="D136" s="12" t="s">
        <v>21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40"/>
      <c r="AK136" s="40"/>
      <c r="AL136" s="46"/>
      <c r="AM136" s="46"/>
      <c r="AN136" s="46"/>
      <c r="AO136" s="46"/>
      <c r="AP136" s="46"/>
    </row>
    <row r="137" spans="1:42">
      <c r="A137" s="39">
        <f t="shared" si="63"/>
        <v>44</v>
      </c>
      <c r="B137" s="39"/>
      <c r="C137" s="68"/>
      <c r="D137" s="10" t="s">
        <v>18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39">
        <f t="shared" ref="AJ137" si="117">COUNTIFS(E137:AI138,"✓")/2</f>
        <v>0</v>
      </c>
      <c r="AK137" s="39">
        <f t="shared" ref="AK137" si="118">SUM(O139:AG139)</f>
        <v>0</v>
      </c>
      <c r="AL137" s="44">
        <v>230000</v>
      </c>
      <c r="AM137" s="44">
        <v>25000</v>
      </c>
      <c r="AN137" s="44">
        <f t="shared" ref="AN137:AO137" si="119">AL137*AJ137</f>
        <v>0</v>
      </c>
      <c r="AO137" s="44">
        <f t="shared" si="119"/>
        <v>0</v>
      </c>
      <c r="AP137" s="44">
        <f t="shared" ref="AP137" si="120">AL137*AJ137+AM137*AK137</f>
        <v>0</v>
      </c>
    </row>
    <row r="138" spans="1:42">
      <c r="A138" s="40"/>
      <c r="B138" s="40"/>
      <c r="C138" s="68"/>
      <c r="D138" s="10" t="s">
        <v>20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40"/>
      <c r="AK138" s="40"/>
      <c r="AL138" s="45"/>
      <c r="AM138" s="45"/>
      <c r="AN138" s="45"/>
      <c r="AO138" s="45"/>
      <c r="AP138" s="45"/>
    </row>
    <row r="139" spans="1:42">
      <c r="A139" s="40"/>
      <c r="B139" s="40"/>
      <c r="C139" s="68"/>
      <c r="D139" s="12" t="s">
        <v>21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40"/>
      <c r="AK139" s="40"/>
      <c r="AL139" s="46"/>
      <c r="AM139" s="46"/>
      <c r="AN139" s="46"/>
      <c r="AO139" s="46"/>
      <c r="AP139" s="46"/>
    </row>
    <row r="140" spans="1:42">
      <c r="A140" s="40"/>
      <c r="B140" s="39"/>
      <c r="C140" s="75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39">
        <f t="shared" ref="AJ140" si="121">COUNTIFS(E140:AI141,"✓")/2</f>
        <v>0</v>
      </c>
      <c r="AK140" s="39">
        <f t="shared" ref="AK140" si="122">SUM(O142:AG142)</f>
        <v>0</v>
      </c>
      <c r="AL140" s="44">
        <v>230000</v>
      </c>
      <c r="AM140" s="44">
        <v>25000</v>
      </c>
      <c r="AN140" s="44">
        <f t="shared" ref="AN140:AO140" si="123">AL140*AJ140</f>
        <v>0</v>
      </c>
      <c r="AO140" s="44">
        <f t="shared" si="123"/>
        <v>0</v>
      </c>
      <c r="AP140" s="44">
        <f t="shared" ref="AP140" si="124">AL140*AJ140+AM140*AK140</f>
        <v>0</v>
      </c>
    </row>
    <row r="141" spans="1:42">
      <c r="A141" s="40"/>
      <c r="B141" s="40"/>
      <c r="C141" s="43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40"/>
      <c r="AK141" s="40"/>
      <c r="AL141" s="45"/>
      <c r="AM141" s="45"/>
      <c r="AN141" s="45"/>
      <c r="AO141" s="45"/>
      <c r="AP141" s="45"/>
    </row>
    <row r="142" spans="1:42">
      <c r="A142" s="41"/>
      <c r="B142" s="40"/>
      <c r="C142" s="76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40"/>
      <c r="AK142" s="40"/>
      <c r="AL142" s="46"/>
      <c r="AM142" s="46"/>
      <c r="AN142" s="46"/>
      <c r="AO142" s="46"/>
      <c r="AP142" s="46"/>
    </row>
    <row r="143" spans="1:42">
      <c r="A143" s="39">
        <f>A137+1</f>
        <v>45</v>
      </c>
      <c r="B143" s="39"/>
      <c r="C143" s="68"/>
      <c r="D143" s="10" t="s">
        <v>18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39">
        <f t="shared" ref="AJ143" si="125">COUNTIFS(E143:AI144,"✓")/2</f>
        <v>0</v>
      </c>
      <c r="AK143" s="39">
        <f t="shared" ref="AK143" si="126">SUM(O145:AG145)</f>
        <v>0</v>
      </c>
      <c r="AL143" s="44">
        <v>230000</v>
      </c>
      <c r="AM143" s="44">
        <v>25000</v>
      </c>
      <c r="AN143" s="44">
        <f t="shared" ref="AN143:AO143" si="127">AL143*AJ143</f>
        <v>0</v>
      </c>
      <c r="AO143" s="44">
        <f t="shared" si="127"/>
        <v>0</v>
      </c>
      <c r="AP143" s="44">
        <f t="shared" ref="AP143" si="128">AL143*AJ143+AM143*AK143</f>
        <v>0</v>
      </c>
    </row>
    <row r="144" spans="1:42">
      <c r="A144" s="40"/>
      <c r="B144" s="40"/>
      <c r="C144" s="68"/>
      <c r="D144" s="10" t="s">
        <v>20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40"/>
      <c r="AK144" s="40"/>
      <c r="AL144" s="45"/>
      <c r="AM144" s="45"/>
      <c r="AN144" s="45"/>
      <c r="AO144" s="45"/>
      <c r="AP144" s="45"/>
    </row>
    <row r="145" spans="1:42">
      <c r="A145" s="40"/>
      <c r="B145" s="40"/>
      <c r="C145" s="68"/>
      <c r="D145" s="12" t="s">
        <v>21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40"/>
      <c r="AK145" s="40"/>
      <c r="AL145" s="46"/>
      <c r="AM145" s="46"/>
      <c r="AN145" s="46"/>
      <c r="AO145" s="46"/>
      <c r="AP145" s="46"/>
    </row>
    <row r="146" spans="1:42">
      <c r="A146" s="39">
        <f t="shared" si="68"/>
        <v>46</v>
      </c>
      <c r="B146" s="39"/>
      <c r="C146" s="68"/>
      <c r="D146" s="10" t="s">
        <v>18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39">
        <f t="shared" ref="AJ146" si="129">COUNTIFS(E146:AI147,"✓")/2</f>
        <v>0</v>
      </c>
      <c r="AK146" s="39">
        <f t="shared" ref="AK146" si="130">SUM(O148:AG148)</f>
        <v>0</v>
      </c>
      <c r="AL146" s="44">
        <v>230000</v>
      </c>
      <c r="AM146" s="44">
        <v>25000</v>
      </c>
      <c r="AN146" s="44">
        <f t="shared" ref="AN146:AO146" si="131">AL146*AJ146</f>
        <v>0</v>
      </c>
      <c r="AO146" s="44">
        <f t="shared" si="131"/>
        <v>0</v>
      </c>
      <c r="AP146" s="44">
        <f t="shared" ref="AP146" si="132">AL146*AJ146+AM146*AK146</f>
        <v>0</v>
      </c>
    </row>
    <row r="147" spans="1:42">
      <c r="A147" s="40"/>
      <c r="B147" s="40"/>
      <c r="C147" s="68"/>
      <c r="D147" s="10" t="s">
        <v>20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40"/>
      <c r="AK147" s="40"/>
      <c r="AL147" s="45"/>
      <c r="AM147" s="45"/>
      <c r="AN147" s="45"/>
      <c r="AO147" s="45"/>
      <c r="AP147" s="45"/>
    </row>
    <row r="148" spans="1:42">
      <c r="A148" s="40"/>
      <c r="B148" s="40"/>
      <c r="C148" s="68"/>
      <c r="D148" s="12" t="s">
        <v>21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40"/>
      <c r="AK148" s="40"/>
      <c r="AL148" s="46"/>
      <c r="AM148" s="46"/>
      <c r="AN148" s="46"/>
      <c r="AO148" s="46"/>
      <c r="AP148" s="46"/>
    </row>
    <row r="149" spans="1:42">
      <c r="A149" s="39">
        <f>A143+1</f>
        <v>46</v>
      </c>
      <c r="B149" s="39"/>
      <c r="C149" s="68"/>
      <c r="D149" s="10" t="s">
        <v>18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39">
        <f t="shared" ref="AJ149" si="133">COUNTIFS(E149:AI150,"✓")/2</f>
        <v>0</v>
      </c>
      <c r="AK149" s="39">
        <f t="shared" ref="AK149" si="134">SUM(O151:AG151)</f>
        <v>0</v>
      </c>
      <c r="AL149" s="44">
        <v>230000</v>
      </c>
      <c r="AM149" s="44">
        <v>25000</v>
      </c>
      <c r="AN149" s="44">
        <f t="shared" ref="AN149:AO149" si="135">AL149*AJ149</f>
        <v>0</v>
      </c>
      <c r="AO149" s="44">
        <f t="shared" si="135"/>
        <v>0</v>
      </c>
      <c r="AP149" s="44">
        <f t="shared" ref="AP149" si="136">AL149*AJ149+AM149*AK149</f>
        <v>0</v>
      </c>
    </row>
    <row r="150" spans="1:42">
      <c r="A150" s="40"/>
      <c r="B150" s="40"/>
      <c r="C150" s="68"/>
      <c r="D150" s="10" t="s">
        <v>20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40"/>
      <c r="AK150" s="40"/>
      <c r="AL150" s="45"/>
      <c r="AM150" s="45"/>
      <c r="AN150" s="45"/>
      <c r="AO150" s="45"/>
      <c r="AP150" s="45"/>
    </row>
    <row r="151" spans="1:42">
      <c r="A151" s="40"/>
      <c r="B151" s="40"/>
      <c r="C151" s="68"/>
      <c r="D151" s="12" t="s">
        <v>21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40"/>
      <c r="AK151" s="40"/>
      <c r="AL151" s="46"/>
      <c r="AM151" s="46"/>
      <c r="AN151" s="46"/>
      <c r="AO151" s="46"/>
      <c r="AP151" s="46"/>
    </row>
    <row r="152" spans="1:42">
      <c r="A152" s="39">
        <f t="shared" si="68"/>
        <v>47</v>
      </c>
      <c r="B152" s="39"/>
      <c r="C152" s="68"/>
      <c r="D152" s="10" t="s">
        <v>18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39">
        <f t="shared" ref="AJ152" si="137">COUNTIFS(E152:AI153,"✓")/2</f>
        <v>0</v>
      </c>
      <c r="AK152" s="39">
        <f t="shared" ref="AK152" si="138">SUM(O154:AG154)</f>
        <v>0</v>
      </c>
      <c r="AL152" s="44">
        <v>230000</v>
      </c>
      <c r="AM152" s="44">
        <v>25000</v>
      </c>
      <c r="AN152" s="44">
        <f t="shared" ref="AN152:AO152" si="139">AL152*AJ152</f>
        <v>0</v>
      </c>
      <c r="AO152" s="44">
        <f t="shared" si="139"/>
        <v>0</v>
      </c>
      <c r="AP152" s="44">
        <f t="shared" ref="AP152" si="140">AL152*AJ152+AM152*AK152</f>
        <v>0</v>
      </c>
    </row>
    <row r="153" spans="1:42">
      <c r="A153" s="40"/>
      <c r="B153" s="40"/>
      <c r="C153" s="68"/>
      <c r="D153" s="10" t="s">
        <v>20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40"/>
      <c r="AK153" s="40"/>
      <c r="AL153" s="45"/>
      <c r="AM153" s="45"/>
      <c r="AN153" s="45"/>
      <c r="AO153" s="45"/>
      <c r="AP153" s="45"/>
    </row>
    <row r="154" spans="1:42">
      <c r="A154" s="40"/>
      <c r="B154" s="40"/>
      <c r="C154" s="68"/>
      <c r="D154" s="12" t="s">
        <v>21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40"/>
      <c r="AK154" s="40"/>
      <c r="AL154" s="46"/>
      <c r="AM154" s="46"/>
      <c r="AN154" s="46"/>
      <c r="AO154" s="46"/>
      <c r="AP154" s="46"/>
    </row>
    <row r="155" spans="1:42">
      <c r="A155" s="39">
        <f>A143+1</f>
        <v>46</v>
      </c>
      <c r="B155" s="39"/>
      <c r="C155" s="68"/>
      <c r="D155" s="10" t="s">
        <v>18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39">
        <f t="shared" ref="AJ155" si="141">COUNTIFS(E155:AI156,"✓")/2</f>
        <v>0</v>
      </c>
      <c r="AK155" s="39">
        <f t="shared" ref="AK155" si="142">SUM(O157:AG157)</f>
        <v>0</v>
      </c>
      <c r="AL155" s="44">
        <v>230000</v>
      </c>
      <c r="AM155" s="44">
        <v>25000</v>
      </c>
      <c r="AN155" s="44">
        <f t="shared" ref="AN155:AO155" si="143">AL155*AJ155</f>
        <v>0</v>
      </c>
      <c r="AO155" s="44">
        <f t="shared" si="143"/>
        <v>0</v>
      </c>
      <c r="AP155" s="44">
        <f t="shared" ref="AP155" si="144">AL155*AJ155+AM155*AK155</f>
        <v>0</v>
      </c>
    </row>
    <row r="156" spans="1:42">
      <c r="A156" s="40"/>
      <c r="B156" s="40"/>
      <c r="C156" s="68"/>
      <c r="D156" s="10" t="s">
        <v>20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40"/>
      <c r="AK156" s="40"/>
      <c r="AL156" s="45"/>
      <c r="AM156" s="45"/>
      <c r="AN156" s="45"/>
      <c r="AO156" s="45"/>
      <c r="AP156" s="45"/>
    </row>
    <row r="157" spans="1:42">
      <c r="A157" s="40"/>
      <c r="B157" s="40"/>
      <c r="C157" s="68"/>
      <c r="D157" s="12" t="s">
        <v>21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40"/>
      <c r="AK157" s="40"/>
      <c r="AL157" s="46"/>
      <c r="AM157" s="46"/>
      <c r="AN157" s="46"/>
      <c r="AO157" s="46"/>
      <c r="AP157" s="46"/>
    </row>
    <row r="158" spans="1:42">
      <c r="A158" s="39">
        <f t="shared" si="68"/>
        <v>47</v>
      </c>
      <c r="B158" s="39"/>
      <c r="C158" s="68"/>
      <c r="D158" s="10" t="s">
        <v>18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39">
        <f t="shared" ref="AJ158" si="145">COUNTIFS(E158:AI159,"✓")/2</f>
        <v>0</v>
      </c>
      <c r="AK158" s="39">
        <f t="shared" ref="AK158" si="146">SUM(O160:AG160)</f>
        <v>0</v>
      </c>
      <c r="AL158" s="44">
        <v>230000</v>
      </c>
      <c r="AM158" s="44">
        <v>25000</v>
      </c>
      <c r="AN158" s="44">
        <f t="shared" ref="AN158:AO158" si="147">AL158*AJ158</f>
        <v>0</v>
      </c>
      <c r="AO158" s="44">
        <f t="shared" si="147"/>
        <v>0</v>
      </c>
      <c r="AP158" s="44">
        <f t="shared" ref="AP158" si="148">AL158*AJ158+AM158*AK158</f>
        <v>0</v>
      </c>
    </row>
    <row r="159" spans="1:42">
      <c r="A159" s="40"/>
      <c r="B159" s="40"/>
      <c r="C159" s="68"/>
      <c r="D159" s="10" t="s">
        <v>20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40"/>
      <c r="AK159" s="40"/>
      <c r="AL159" s="45"/>
      <c r="AM159" s="45"/>
      <c r="AN159" s="45"/>
      <c r="AO159" s="45"/>
      <c r="AP159" s="45"/>
    </row>
    <row r="160" spans="1:42">
      <c r="A160" s="40"/>
      <c r="B160" s="40"/>
      <c r="C160" s="68"/>
      <c r="D160" s="12" t="s">
        <v>21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40"/>
      <c r="AK160" s="40"/>
      <c r="AL160" s="46"/>
      <c r="AM160" s="46"/>
      <c r="AN160" s="46"/>
      <c r="AO160" s="46"/>
      <c r="AP160" s="46"/>
    </row>
    <row r="161" spans="1:42">
      <c r="A161" s="39">
        <f t="shared" si="63"/>
        <v>48</v>
      </c>
      <c r="B161" s="39"/>
      <c r="C161" s="42" t="s">
        <v>24</v>
      </c>
      <c r="D161" s="10" t="s">
        <v>18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39">
        <f>COUNTIFS(E161:AI162,"✓")/2</f>
        <v>0</v>
      </c>
      <c r="AK161" s="39">
        <f t="shared" ref="AK161" si="149">SUM(O163:AG163)</f>
        <v>0</v>
      </c>
      <c r="AL161" s="44">
        <v>230000</v>
      </c>
      <c r="AM161" s="44">
        <v>25000</v>
      </c>
      <c r="AN161" s="44">
        <f>AL161*AJ161</f>
        <v>0</v>
      </c>
      <c r="AO161" s="44">
        <f>AM161*AK161</f>
        <v>0</v>
      </c>
      <c r="AP161" s="44"/>
    </row>
    <row r="162" spans="1:42">
      <c r="A162" s="40"/>
      <c r="B162" s="40"/>
      <c r="C162" s="43"/>
      <c r="D162" s="10" t="s">
        <v>20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40"/>
      <c r="AK162" s="40"/>
      <c r="AL162" s="45"/>
      <c r="AM162" s="45"/>
      <c r="AN162" s="45"/>
      <c r="AO162" s="45"/>
      <c r="AP162" s="45"/>
    </row>
    <row r="163" spans="1:42">
      <c r="A163" s="40"/>
      <c r="B163" s="40"/>
      <c r="C163" s="43"/>
      <c r="D163" s="12" t="s">
        <v>21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40"/>
      <c r="AK163" s="40"/>
      <c r="AL163" s="46"/>
      <c r="AM163" s="46"/>
      <c r="AN163" s="46"/>
      <c r="AO163" s="46"/>
      <c r="AP163" s="46"/>
    </row>
    <row r="164" spans="1:42">
      <c r="A164" s="39">
        <f t="shared" si="68"/>
        <v>49</v>
      </c>
      <c r="B164" s="39"/>
      <c r="C164" s="42" t="s">
        <v>24</v>
      </c>
      <c r="D164" s="10" t="s">
        <v>18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39">
        <f>COUNTIFS(E164:AI165,"✓")/2</f>
        <v>0</v>
      </c>
      <c r="AK164" s="39">
        <f>SUM(N166)</f>
        <v>0</v>
      </c>
      <c r="AL164" s="44">
        <v>230000</v>
      </c>
      <c r="AM164" s="44">
        <v>25000</v>
      </c>
      <c r="AN164" s="44">
        <f>AL164*AJ164</f>
        <v>0</v>
      </c>
      <c r="AO164" s="44">
        <f>AM164*AK164</f>
        <v>0</v>
      </c>
      <c r="AP164" s="44">
        <f t="shared" ref="AP164" si="150">AL164*AJ164+AM164*AK164</f>
        <v>0</v>
      </c>
    </row>
    <row r="165" spans="1:42">
      <c r="A165" s="40"/>
      <c r="B165" s="40"/>
      <c r="C165" s="43"/>
      <c r="D165" s="10" t="s">
        <v>20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40"/>
      <c r="AK165" s="40"/>
      <c r="AL165" s="45"/>
      <c r="AM165" s="45"/>
      <c r="AN165" s="45"/>
      <c r="AO165" s="45"/>
      <c r="AP165" s="45"/>
    </row>
    <row r="166" spans="1:42">
      <c r="A166" s="40"/>
      <c r="B166" s="40"/>
      <c r="C166" s="43"/>
      <c r="D166" s="19" t="s">
        <v>21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40"/>
      <c r="AK166" s="40"/>
      <c r="AL166" s="46"/>
      <c r="AM166" s="46"/>
      <c r="AN166" s="46"/>
      <c r="AO166" s="46"/>
      <c r="AP166" s="46"/>
    </row>
    <row r="167" spans="1:42">
      <c r="A167" s="39">
        <f t="shared" ref="A167" si="151">A164+1</f>
        <v>50</v>
      </c>
      <c r="B167" s="39"/>
      <c r="C167" s="42" t="s">
        <v>24</v>
      </c>
      <c r="D167" s="10" t="s">
        <v>18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39">
        <f t="shared" ref="AJ167" si="152">COUNTIFS(E167:AI168,"✓")/2</f>
        <v>0</v>
      </c>
      <c r="AK167" s="39">
        <f t="shared" ref="AK167" si="153">SUM(N169)</f>
        <v>0</v>
      </c>
      <c r="AL167" s="44">
        <v>230000</v>
      </c>
      <c r="AM167" s="44">
        <v>25000</v>
      </c>
      <c r="AN167" s="44">
        <f t="shared" ref="AN167:AO167" si="154">AL167*AJ167</f>
        <v>0</v>
      </c>
      <c r="AO167" s="44">
        <f t="shared" si="154"/>
        <v>0</v>
      </c>
      <c r="AP167" s="44">
        <f t="shared" ref="AP167" si="155">AL167*AJ167+AM167*AK167</f>
        <v>0</v>
      </c>
    </row>
    <row r="168" spans="1:42">
      <c r="A168" s="40"/>
      <c r="B168" s="40"/>
      <c r="C168" s="43"/>
      <c r="D168" s="10" t="s">
        <v>20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40"/>
      <c r="AK168" s="40"/>
      <c r="AL168" s="45"/>
      <c r="AM168" s="45"/>
      <c r="AN168" s="45"/>
      <c r="AO168" s="45"/>
      <c r="AP168" s="45"/>
    </row>
    <row r="169" spans="1:42">
      <c r="A169" s="40"/>
      <c r="B169" s="40"/>
      <c r="C169" s="43"/>
      <c r="D169" s="19" t="s">
        <v>21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40"/>
      <c r="AK169" s="40"/>
      <c r="AL169" s="46"/>
      <c r="AM169" s="46"/>
      <c r="AN169" s="46"/>
      <c r="AO169" s="46"/>
      <c r="AP169" s="46"/>
    </row>
    <row r="170" spans="1:42">
      <c r="A170" s="39">
        <f t="shared" ref="A170:A227" si="156">A167+1</f>
        <v>51</v>
      </c>
      <c r="B170" s="39"/>
      <c r="C170" s="42" t="s">
        <v>24</v>
      </c>
      <c r="D170" s="10" t="s">
        <v>18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39">
        <f t="shared" ref="AJ170" si="157">COUNTIFS(E170:AI171,"✓")/2</f>
        <v>0</v>
      </c>
      <c r="AK170" s="39">
        <f t="shared" ref="AK170" si="158">SUM(N172)</f>
        <v>0</v>
      </c>
      <c r="AL170" s="44">
        <v>230000</v>
      </c>
      <c r="AM170" s="44">
        <v>25000</v>
      </c>
      <c r="AN170" s="44">
        <f t="shared" ref="AN170:AO170" si="159">AL170*AJ170</f>
        <v>0</v>
      </c>
      <c r="AO170" s="44">
        <f t="shared" si="159"/>
        <v>0</v>
      </c>
      <c r="AP170" s="44">
        <f t="shared" ref="AP170" si="160">AL170*AJ170+AM170*AK170</f>
        <v>0</v>
      </c>
    </row>
    <row r="171" spans="1:42">
      <c r="A171" s="40"/>
      <c r="B171" s="40"/>
      <c r="C171" s="43"/>
      <c r="D171" s="10" t="s">
        <v>20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40"/>
      <c r="AK171" s="40"/>
      <c r="AL171" s="45"/>
      <c r="AM171" s="45"/>
      <c r="AN171" s="45"/>
      <c r="AO171" s="45"/>
      <c r="AP171" s="45"/>
    </row>
    <row r="172" spans="1:42">
      <c r="A172" s="40"/>
      <c r="B172" s="40"/>
      <c r="C172" s="43"/>
      <c r="D172" s="19" t="s">
        <v>21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40"/>
      <c r="AK172" s="40"/>
      <c r="AL172" s="46"/>
      <c r="AM172" s="46"/>
      <c r="AN172" s="46"/>
      <c r="AO172" s="46"/>
      <c r="AP172" s="46"/>
    </row>
    <row r="173" spans="1:42">
      <c r="A173" s="39">
        <f t="shared" si="156"/>
        <v>52</v>
      </c>
      <c r="B173" s="39"/>
      <c r="C173" s="42" t="s">
        <v>24</v>
      </c>
      <c r="D173" s="10" t="s">
        <v>18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39">
        <f t="shared" ref="AJ173" si="161">COUNTIFS(E173:AI174,"✓")/2</f>
        <v>0</v>
      </c>
      <c r="AK173" s="39">
        <f t="shared" ref="AK173" si="162">SUM(N175)</f>
        <v>0</v>
      </c>
      <c r="AL173" s="44">
        <v>230000</v>
      </c>
      <c r="AM173" s="44">
        <v>25000</v>
      </c>
      <c r="AN173" s="44">
        <f t="shared" ref="AN173:AO173" si="163">AL173*AJ173</f>
        <v>0</v>
      </c>
      <c r="AO173" s="44">
        <f t="shared" si="163"/>
        <v>0</v>
      </c>
      <c r="AP173" s="44">
        <f t="shared" ref="AP173" si="164">AL173*AJ173+AM173*AK173</f>
        <v>0</v>
      </c>
    </row>
    <row r="174" spans="1:42">
      <c r="A174" s="40"/>
      <c r="B174" s="40"/>
      <c r="C174" s="43"/>
      <c r="D174" s="10" t="s">
        <v>20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40"/>
      <c r="AK174" s="40"/>
      <c r="AL174" s="45"/>
      <c r="AM174" s="45"/>
      <c r="AN174" s="45"/>
      <c r="AO174" s="45"/>
      <c r="AP174" s="45"/>
    </row>
    <row r="175" spans="1:42">
      <c r="A175" s="40"/>
      <c r="B175" s="40"/>
      <c r="C175" s="43"/>
      <c r="D175" s="19" t="s">
        <v>21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40"/>
      <c r="AK175" s="40"/>
      <c r="AL175" s="46"/>
      <c r="AM175" s="46"/>
      <c r="AN175" s="46"/>
      <c r="AO175" s="46"/>
      <c r="AP175" s="46"/>
    </row>
    <row r="176" spans="1:42">
      <c r="A176" s="39">
        <f t="shared" si="156"/>
        <v>53</v>
      </c>
      <c r="B176" s="39"/>
      <c r="C176" s="42" t="s">
        <v>24</v>
      </c>
      <c r="D176" s="10" t="s">
        <v>18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39">
        <f t="shared" ref="AJ176" si="165">COUNTIFS(E176:AI177,"✓")/2</f>
        <v>0</v>
      </c>
      <c r="AK176" s="39">
        <f t="shared" ref="AK176" si="166">SUM(N178)</f>
        <v>0</v>
      </c>
      <c r="AL176" s="44">
        <v>230000</v>
      </c>
      <c r="AM176" s="44">
        <v>25000</v>
      </c>
      <c r="AN176" s="44">
        <f t="shared" ref="AN176:AO176" si="167">AL176*AJ176</f>
        <v>0</v>
      </c>
      <c r="AO176" s="44">
        <f t="shared" si="167"/>
        <v>0</v>
      </c>
      <c r="AP176" s="44">
        <f t="shared" ref="AP176" si="168">AL176*AJ176+AM176*AK176</f>
        <v>0</v>
      </c>
    </row>
    <row r="177" spans="1:42">
      <c r="A177" s="40"/>
      <c r="B177" s="40"/>
      <c r="C177" s="43"/>
      <c r="D177" s="10" t="s">
        <v>20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40"/>
      <c r="AK177" s="40"/>
      <c r="AL177" s="45"/>
      <c r="AM177" s="45"/>
      <c r="AN177" s="45"/>
      <c r="AO177" s="45"/>
      <c r="AP177" s="45"/>
    </row>
    <row r="178" spans="1:42">
      <c r="A178" s="40"/>
      <c r="B178" s="40"/>
      <c r="C178" s="43"/>
      <c r="D178" s="19" t="s">
        <v>21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40"/>
      <c r="AK178" s="40"/>
      <c r="AL178" s="46"/>
      <c r="AM178" s="46"/>
      <c r="AN178" s="46"/>
      <c r="AO178" s="46"/>
      <c r="AP178" s="46"/>
    </row>
    <row r="179" spans="1:42">
      <c r="A179" s="39">
        <f t="shared" si="156"/>
        <v>54</v>
      </c>
      <c r="B179" s="39"/>
      <c r="C179" s="42" t="s">
        <v>24</v>
      </c>
      <c r="D179" s="10" t="s">
        <v>18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39">
        <f t="shared" ref="AJ179" si="169">COUNTIFS(E179:AI180,"✓")/2</f>
        <v>0</v>
      </c>
      <c r="AK179" s="39">
        <f t="shared" ref="AK179" si="170">SUM(N181)</f>
        <v>0</v>
      </c>
      <c r="AL179" s="44">
        <v>230000</v>
      </c>
      <c r="AM179" s="44">
        <v>25000</v>
      </c>
      <c r="AN179" s="44">
        <f t="shared" ref="AN179:AO179" si="171">AL179*AJ179</f>
        <v>0</v>
      </c>
      <c r="AO179" s="44">
        <f t="shared" si="171"/>
        <v>0</v>
      </c>
      <c r="AP179" s="44">
        <f t="shared" ref="AP179" si="172">AL179*AJ179+AM179*AK179</f>
        <v>0</v>
      </c>
    </row>
    <row r="180" spans="1:42">
      <c r="A180" s="40"/>
      <c r="B180" s="40"/>
      <c r="C180" s="43"/>
      <c r="D180" s="10" t="s">
        <v>20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40"/>
      <c r="AK180" s="40"/>
      <c r="AL180" s="45"/>
      <c r="AM180" s="45"/>
      <c r="AN180" s="45"/>
      <c r="AO180" s="45"/>
      <c r="AP180" s="45"/>
    </row>
    <row r="181" spans="1:42">
      <c r="A181" s="40"/>
      <c r="B181" s="40"/>
      <c r="C181" s="43"/>
      <c r="D181" s="19" t="s">
        <v>21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40"/>
      <c r="AK181" s="40"/>
      <c r="AL181" s="46"/>
      <c r="AM181" s="46"/>
      <c r="AN181" s="46"/>
      <c r="AO181" s="46"/>
      <c r="AP181" s="46"/>
    </row>
    <row r="182" spans="1:42">
      <c r="A182" s="39">
        <f t="shared" si="156"/>
        <v>55</v>
      </c>
      <c r="B182" s="39"/>
      <c r="C182" s="42" t="s">
        <v>24</v>
      </c>
      <c r="D182" s="10" t="s">
        <v>18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39">
        <f t="shared" ref="AJ182" si="173">COUNTIFS(E182:AI183,"✓")/2</f>
        <v>0</v>
      </c>
      <c r="AK182" s="39">
        <f t="shared" ref="AK182" si="174">SUM(N184)</f>
        <v>0</v>
      </c>
      <c r="AL182" s="44">
        <v>230000</v>
      </c>
      <c r="AM182" s="44">
        <v>25000</v>
      </c>
      <c r="AN182" s="44">
        <f t="shared" ref="AN182:AO182" si="175">AL182*AJ182</f>
        <v>0</v>
      </c>
      <c r="AO182" s="44">
        <f t="shared" si="175"/>
        <v>0</v>
      </c>
      <c r="AP182" s="44">
        <f t="shared" ref="AP182" si="176">AL182*AJ182+AM182*AK182</f>
        <v>0</v>
      </c>
    </row>
    <row r="183" spans="1:42">
      <c r="A183" s="40"/>
      <c r="B183" s="40"/>
      <c r="C183" s="43"/>
      <c r="D183" s="10" t="s">
        <v>20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40"/>
      <c r="AK183" s="40"/>
      <c r="AL183" s="45"/>
      <c r="AM183" s="45"/>
      <c r="AN183" s="45"/>
      <c r="AO183" s="45"/>
      <c r="AP183" s="45"/>
    </row>
    <row r="184" spans="1:42">
      <c r="A184" s="40"/>
      <c r="B184" s="40"/>
      <c r="C184" s="43"/>
      <c r="D184" s="19" t="s">
        <v>21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40"/>
      <c r="AK184" s="40"/>
      <c r="AL184" s="46"/>
      <c r="AM184" s="46"/>
      <c r="AN184" s="46"/>
      <c r="AO184" s="46"/>
      <c r="AP184" s="46"/>
    </row>
    <row r="185" spans="1:42">
      <c r="A185" s="39">
        <f t="shared" si="156"/>
        <v>56</v>
      </c>
      <c r="B185" s="39"/>
      <c r="C185" s="42" t="s">
        <v>24</v>
      </c>
      <c r="D185" s="10" t="s">
        <v>18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39">
        <f t="shared" ref="AJ185" si="177">COUNTIFS(E185:AI186,"✓")/2</f>
        <v>0</v>
      </c>
      <c r="AK185" s="39">
        <f t="shared" ref="AK185" si="178">SUM(N187)</f>
        <v>0</v>
      </c>
      <c r="AL185" s="44">
        <v>230000</v>
      </c>
      <c r="AM185" s="44">
        <v>25000</v>
      </c>
      <c r="AN185" s="44">
        <f t="shared" ref="AN185:AO185" si="179">AL185*AJ185</f>
        <v>0</v>
      </c>
      <c r="AO185" s="44">
        <f t="shared" si="179"/>
        <v>0</v>
      </c>
      <c r="AP185" s="44">
        <f t="shared" ref="AP185" si="180">AL185*AJ185+AM185*AK185</f>
        <v>0</v>
      </c>
    </row>
    <row r="186" spans="1:42">
      <c r="A186" s="40"/>
      <c r="B186" s="40"/>
      <c r="C186" s="43"/>
      <c r="D186" s="10" t="s">
        <v>20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40"/>
      <c r="AK186" s="40"/>
      <c r="AL186" s="45"/>
      <c r="AM186" s="45"/>
      <c r="AN186" s="45"/>
      <c r="AO186" s="45"/>
      <c r="AP186" s="45"/>
    </row>
    <row r="187" spans="1:42">
      <c r="A187" s="40"/>
      <c r="B187" s="40"/>
      <c r="C187" s="43"/>
      <c r="D187" s="19" t="s">
        <v>21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40"/>
      <c r="AK187" s="40"/>
      <c r="AL187" s="46"/>
      <c r="AM187" s="46"/>
      <c r="AN187" s="46"/>
      <c r="AO187" s="46"/>
      <c r="AP187" s="46"/>
    </row>
    <row r="188" spans="1:42">
      <c r="A188" s="39">
        <f t="shared" si="156"/>
        <v>57</v>
      </c>
      <c r="B188" s="39"/>
      <c r="C188" s="42" t="s">
        <v>24</v>
      </c>
      <c r="D188" s="10" t="s">
        <v>18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39">
        <f t="shared" ref="AJ188" si="181">COUNTIFS(E188:AI189,"✓")/2</f>
        <v>0</v>
      </c>
      <c r="AK188" s="39">
        <f t="shared" ref="AK188" si="182">SUM(N190)</f>
        <v>0</v>
      </c>
      <c r="AL188" s="44">
        <v>230000</v>
      </c>
      <c r="AM188" s="44">
        <v>25000</v>
      </c>
      <c r="AN188" s="44">
        <f t="shared" ref="AN188:AO188" si="183">AL188*AJ188</f>
        <v>0</v>
      </c>
      <c r="AO188" s="44">
        <f t="shared" si="183"/>
        <v>0</v>
      </c>
      <c r="AP188" s="44">
        <f t="shared" ref="AP188" si="184">AL188*AJ188+AM188*AK188</f>
        <v>0</v>
      </c>
    </row>
    <row r="189" spans="1:42">
      <c r="A189" s="40"/>
      <c r="B189" s="40"/>
      <c r="C189" s="43"/>
      <c r="D189" s="10" t="s">
        <v>20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40"/>
      <c r="AK189" s="40"/>
      <c r="AL189" s="45"/>
      <c r="AM189" s="45"/>
      <c r="AN189" s="45"/>
      <c r="AO189" s="45"/>
      <c r="AP189" s="45"/>
    </row>
    <row r="190" spans="1:42">
      <c r="A190" s="40"/>
      <c r="B190" s="40"/>
      <c r="C190" s="43"/>
      <c r="D190" s="19" t="s">
        <v>21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40"/>
      <c r="AK190" s="40"/>
      <c r="AL190" s="46"/>
      <c r="AM190" s="46"/>
      <c r="AN190" s="46"/>
      <c r="AO190" s="46"/>
      <c r="AP190" s="46"/>
    </row>
    <row r="191" spans="1:42">
      <c r="A191" s="39">
        <f t="shared" si="156"/>
        <v>58</v>
      </c>
      <c r="B191" s="39"/>
      <c r="C191" s="42" t="s">
        <v>24</v>
      </c>
      <c r="D191" s="10" t="s">
        <v>18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39">
        <f t="shared" ref="AJ191" si="185">COUNTIFS(E191:AI192,"✓")/2</f>
        <v>0</v>
      </c>
      <c r="AK191" s="39">
        <f t="shared" ref="AK191" si="186">SUM(N193)</f>
        <v>0</v>
      </c>
      <c r="AL191" s="44">
        <v>230000</v>
      </c>
      <c r="AM191" s="44">
        <v>25000</v>
      </c>
      <c r="AN191" s="44">
        <f t="shared" ref="AN191:AO191" si="187">AL191*AJ191</f>
        <v>0</v>
      </c>
      <c r="AO191" s="44">
        <f t="shared" si="187"/>
        <v>0</v>
      </c>
      <c r="AP191" s="44">
        <f t="shared" ref="AP191" si="188">AL191*AJ191+AM191*AK191</f>
        <v>0</v>
      </c>
    </row>
    <row r="192" spans="1:42">
      <c r="A192" s="40"/>
      <c r="B192" s="40"/>
      <c r="C192" s="43"/>
      <c r="D192" s="10" t="s">
        <v>20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40"/>
      <c r="AK192" s="40"/>
      <c r="AL192" s="45"/>
      <c r="AM192" s="45"/>
      <c r="AN192" s="45"/>
      <c r="AO192" s="45"/>
      <c r="AP192" s="45"/>
    </row>
    <row r="193" spans="1:42">
      <c r="A193" s="40"/>
      <c r="B193" s="40"/>
      <c r="C193" s="43"/>
      <c r="D193" s="19" t="s">
        <v>21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40"/>
      <c r="AK193" s="40"/>
      <c r="AL193" s="46"/>
      <c r="AM193" s="46"/>
      <c r="AN193" s="46"/>
      <c r="AO193" s="46"/>
      <c r="AP193" s="46"/>
    </row>
    <row r="194" spans="1:42">
      <c r="A194" s="39">
        <f t="shared" si="156"/>
        <v>59</v>
      </c>
      <c r="B194" s="39"/>
      <c r="C194" s="42" t="s">
        <v>24</v>
      </c>
      <c r="D194" s="10" t="s">
        <v>18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39">
        <f t="shared" ref="AJ194" si="189">COUNTIFS(E194:AI195,"✓")/2</f>
        <v>0</v>
      </c>
      <c r="AK194" s="39">
        <f t="shared" ref="AK194" si="190">SUM(N196)</f>
        <v>0</v>
      </c>
      <c r="AL194" s="44">
        <v>230000</v>
      </c>
      <c r="AM194" s="44">
        <v>25000</v>
      </c>
      <c r="AN194" s="44">
        <f t="shared" ref="AN194:AO194" si="191">AL194*AJ194</f>
        <v>0</v>
      </c>
      <c r="AO194" s="44">
        <f t="shared" si="191"/>
        <v>0</v>
      </c>
      <c r="AP194" s="44">
        <f t="shared" ref="AP194" si="192">AL194*AJ194+AM194*AK194</f>
        <v>0</v>
      </c>
    </row>
    <row r="195" spans="1:42">
      <c r="A195" s="40"/>
      <c r="B195" s="40"/>
      <c r="C195" s="43"/>
      <c r="D195" s="10" t="s">
        <v>20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40"/>
      <c r="AK195" s="40"/>
      <c r="AL195" s="45"/>
      <c r="AM195" s="45"/>
      <c r="AN195" s="45"/>
      <c r="AO195" s="45"/>
      <c r="AP195" s="45"/>
    </row>
    <row r="196" spans="1:42">
      <c r="A196" s="40"/>
      <c r="B196" s="40"/>
      <c r="C196" s="43"/>
      <c r="D196" s="19" t="s">
        <v>21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40"/>
      <c r="AK196" s="40"/>
      <c r="AL196" s="46"/>
      <c r="AM196" s="46"/>
      <c r="AN196" s="46"/>
      <c r="AO196" s="46"/>
      <c r="AP196" s="46"/>
    </row>
    <row r="197" spans="1:42">
      <c r="A197" s="39">
        <f t="shared" si="156"/>
        <v>60</v>
      </c>
      <c r="B197" s="39"/>
      <c r="C197" s="42" t="s">
        <v>24</v>
      </c>
      <c r="D197" s="10" t="s">
        <v>18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39">
        <f t="shared" ref="AJ197" si="193">COUNTIFS(E197:AI198,"✓")/2</f>
        <v>0</v>
      </c>
      <c r="AK197" s="39">
        <f t="shared" ref="AK197" si="194">SUM(N199)</f>
        <v>0</v>
      </c>
      <c r="AL197" s="44">
        <v>230000</v>
      </c>
      <c r="AM197" s="44">
        <v>25000</v>
      </c>
      <c r="AN197" s="44">
        <f t="shared" ref="AN197:AO197" si="195">AL197*AJ197</f>
        <v>0</v>
      </c>
      <c r="AO197" s="44">
        <f t="shared" si="195"/>
        <v>0</v>
      </c>
      <c r="AP197" s="44">
        <f t="shared" ref="AP197" si="196">AL197*AJ197+AM197*AK197</f>
        <v>0</v>
      </c>
    </row>
    <row r="198" spans="1:42">
      <c r="A198" s="40"/>
      <c r="B198" s="40"/>
      <c r="C198" s="43"/>
      <c r="D198" s="10" t="s">
        <v>20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40"/>
      <c r="AK198" s="40"/>
      <c r="AL198" s="45"/>
      <c r="AM198" s="45"/>
      <c r="AN198" s="45"/>
      <c r="AO198" s="45"/>
      <c r="AP198" s="45"/>
    </row>
    <row r="199" spans="1:42">
      <c r="A199" s="40"/>
      <c r="B199" s="40"/>
      <c r="C199" s="43"/>
      <c r="D199" s="19" t="s">
        <v>21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40"/>
      <c r="AK199" s="40"/>
      <c r="AL199" s="46"/>
      <c r="AM199" s="46"/>
      <c r="AN199" s="46"/>
      <c r="AO199" s="46"/>
      <c r="AP199" s="46"/>
    </row>
    <row r="200" spans="1:42">
      <c r="A200" s="39">
        <f t="shared" si="156"/>
        <v>61</v>
      </c>
      <c r="B200" s="39"/>
      <c r="C200" s="42" t="s">
        <v>24</v>
      </c>
      <c r="D200" s="10" t="s">
        <v>18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39">
        <f t="shared" ref="AJ200" si="197">COUNTIFS(E200:AI201,"✓")/2</f>
        <v>0</v>
      </c>
      <c r="AK200" s="39">
        <f t="shared" ref="AK200" si="198">SUM(N202)</f>
        <v>0</v>
      </c>
      <c r="AL200" s="44">
        <v>230000</v>
      </c>
      <c r="AM200" s="44">
        <v>25000</v>
      </c>
      <c r="AN200" s="44">
        <f t="shared" ref="AN200:AO200" si="199">AL200*AJ200</f>
        <v>0</v>
      </c>
      <c r="AO200" s="44">
        <f t="shared" si="199"/>
        <v>0</v>
      </c>
      <c r="AP200" s="44">
        <f t="shared" ref="AP200" si="200">AL200*AJ200+AM200*AK200</f>
        <v>0</v>
      </c>
    </row>
    <row r="201" spans="1:42">
      <c r="A201" s="40"/>
      <c r="B201" s="40"/>
      <c r="C201" s="43"/>
      <c r="D201" s="10" t="s">
        <v>20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40"/>
      <c r="AK201" s="40"/>
      <c r="AL201" s="45"/>
      <c r="AM201" s="45"/>
      <c r="AN201" s="45"/>
      <c r="AO201" s="45"/>
      <c r="AP201" s="45"/>
    </row>
    <row r="202" spans="1:42">
      <c r="A202" s="40"/>
      <c r="B202" s="40"/>
      <c r="C202" s="43"/>
      <c r="D202" s="19" t="s">
        <v>21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40"/>
      <c r="AK202" s="40"/>
      <c r="AL202" s="46"/>
      <c r="AM202" s="46"/>
      <c r="AN202" s="46"/>
      <c r="AO202" s="46"/>
      <c r="AP202" s="46"/>
    </row>
    <row r="203" spans="1:42">
      <c r="A203" s="39">
        <f t="shared" si="156"/>
        <v>62</v>
      </c>
      <c r="B203" s="39"/>
      <c r="C203" s="42" t="s">
        <v>24</v>
      </c>
      <c r="D203" s="10" t="s">
        <v>18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39">
        <f t="shared" ref="AJ203" si="201">COUNTIFS(E203:AI204,"✓")/2</f>
        <v>0</v>
      </c>
      <c r="AK203" s="39">
        <f t="shared" ref="AK203" si="202">SUM(N205)</f>
        <v>0</v>
      </c>
      <c r="AL203" s="44">
        <v>230000</v>
      </c>
      <c r="AM203" s="44">
        <v>25000</v>
      </c>
      <c r="AN203" s="44">
        <f t="shared" ref="AN203:AO203" si="203">AL203*AJ203</f>
        <v>0</v>
      </c>
      <c r="AO203" s="44">
        <f t="shared" si="203"/>
        <v>0</v>
      </c>
      <c r="AP203" s="44">
        <f t="shared" ref="AP203" si="204">AL203*AJ203+AM203*AK203</f>
        <v>0</v>
      </c>
    </row>
    <row r="204" spans="1:42">
      <c r="A204" s="40"/>
      <c r="B204" s="40"/>
      <c r="C204" s="43"/>
      <c r="D204" s="10" t="s">
        <v>20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40"/>
      <c r="AK204" s="40"/>
      <c r="AL204" s="45"/>
      <c r="AM204" s="45"/>
      <c r="AN204" s="45"/>
      <c r="AO204" s="45"/>
      <c r="AP204" s="45"/>
    </row>
    <row r="205" spans="1:42">
      <c r="A205" s="40"/>
      <c r="B205" s="40"/>
      <c r="C205" s="43"/>
      <c r="D205" s="19" t="s">
        <v>21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40"/>
      <c r="AK205" s="40"/>
      <c r="AL205" s="46"/>
      <c r="AM205" s="46"/>
      <c r="AN205" s="46"/>
      <c r="AO205" s="46"/>
      <c r="AP205" s="46"/>
    </row>
    <row r="206" spans="1:42">
      <c r="A206" s="39">
        <f t="shared" si="156"/>
        <v>63</v>
      </c>
      <c r="B206" s="38"/>
      <c r="C206" s="42" t="s">
        <v>24</v>
      </c>
      <c r="D206" s="10" t="s">
        <v>18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39">
        <f t="shared" ref="AJ206" si="205">COUNTIFS(E206:AI207,"✓")/2</f>
        <v>0</v>
      </c>
      <c r="AK206" s="39">
        <f t="shared" ref="AK206" si="206">SUM(N208)</f>
        <v>0</v>
      </c>
      <c r="AL206" s="44">
        <v>230000</v>
      </c>
      <c r="AM206" s="44">
        <v>25000</v>
      </c>
      <c r="AN206" s="44">
        <f t="shared" ref="AN206:AO206" si="207">AL206*AJ206</f>
        <v>0</v>
      </c>
      <c r="AO206" s="44">
        <f t="shared" si="207"/>
        <v>0</v>
      </c>
      <c r="AP206" s="44">
        <f t="shared" ref="AP206" si="208">AL206*AJ206+AM206*AK206</f>
        <v>0</v>
      </c>
    </row>
    <row r="207" spans="1:42">
      <c r="A207" s="40"/>
      <c r="B207" s="38"/>
      <c r="C207" s="43"/>
      <c r="D207" s="10" t="s">
        <v>20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40"/>
      <c r="AK207" s="40"/>
      <c r="AL207" s="45"/>
      <c r="AM207" s="45"/>
      <c r="AN207" s="45"/>
      <c r="AO207" s="45"/>
      <c r="AP207" s="45"/>
    </row>
    <row r="208" spans="1:42">
      <c r="A208" s="40"/>
      <c r="B208" s="39"/>
      <c r="C208" s="43"/>
      <c r="D208" s="19" t="s">
        <v>21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40"/>
      <c r="AK208" s="40"/>
      <c r="AL208" s="46"/>
      <c r="AM208" s="46"/>
      <c r="AN208" s="46"/>
      <c r="AO208" s="46"/>
      <c r="AP208" s="46"/>
    </row>
    <row r="209" spans="1:42">
      <c r="A209" s="39">
        <f t="shared" si="156"/>
        <v>64</v>
      </c>
      <c r="B209" s="38"/>
      <c r="C209" s="42" t="s">
        <v>24</v>
      </c>
      <c r="D209" s="10" t="s">
        <v>18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39">
        <f t="shared" ref="AJ209" si="209">COUNTIFS(E209:AI210,"✓")/2</f>
        <v>0</v>
      </c>
      <c r="AK209" s="39">
        <f t="shared" ref="AK209" si="210">SUM(N211)</f>
        <v>0</v>
      </c>
      <c r="AL209" s="44">
        <v>230000</v>
      </c>
      <c r="AM209" s="44">
        <v>25000</v>
      </c>
      <c r="AN209" s="44">
        <f t="shared" ref="AN209:AO209" si="211">AL209*AJ209</f>
        <v>0</v>
      </c>
      <c r="AO209" s="44">
        <f t="shared" si="211"/>
        <v>0</v>
      </c>
      <c r="AP209" s="44">
        <f t="shared" ref="AP209" si="212">AL209*AJ209+AM209*AK209</f>
        <v>0</v>
      </c>
    </row>
    <row r="210" spans="1:42">
      <c r="A210" s="40"/>
      <c r="B210" s="38"/>
      <c r="C210" s="43"/>
      <c r="D210" s="10" t="s">
        <v>20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40"/>
      <c r="AK210" s="40"/>
      <c r="AL210" s="45"/>
      <c r="AM210" s="45"/>
      <c r="AN210" s="45"/>
      <c r="AO210" s="45"/>
      <c r="AP210" s="45"/>
    </row>
    <row r="211" spans="1:42">
      <c r="A211" s="40"/>
      <c r="B211" s="39"/>
      <c r="C211" s="43"/>
      <c r="D211" s="19" t="s">
        <v>21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40"/>
      <c r="AK211" s="40"/>
      <c r="AL211" s="46"/>
      <c r="AM211" s="46"/>
      <c r="AN211" s="46"/>
      <c r="AO211" s="46"/>
      <c r="AP211" s="46"/>
    </row>
    <row r="212" spans="1:42">
      <c r="A212" s="39">
        <f t="shared" si="156"/>
        <v>65</v>
      </c>
      <c r="B212" s="38"/>
      <c r="C212" s="42" t="s">
        <v>24</v>
      </c>
      <c r="D212" s="10" t="s">
        <v>18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39">
        <f t="shared" ref="AJ212" si="213">COUNTIFS(E212:AI213,"✓")/2</f>
        <v>0</v>
      </c>
      <c r="AK212" s="39">
        <f t="shared" ref="AK212" si="214">SUM(N214)</f>
        <v>0</v>
      </c>
      <c r="AL212" s="44">
        <v>230000</v>
      </c>
      <c r="AM212" s="44">
        <v>25000</v>
      </c>
      <c r="AN212" s="44">
        <f t="shared" ref="AN212:AO212" si="215">AL212*AJ212</f>
        <v>0</v>
      </c>
      <c r="AO212" s="44">
        <f t="shared" si="215"/>
        <v>0</v>
      </c>
      <c r="AP212" s="44">
        <f t="shared" ref="AP212" si="216">AL212*AJ212+AM212*AK212</f>
        <v>0</v>
      </c>
    </row>
    <row r="213" spans="1:42">
      <c r="A213" s="40"/>
      <c r="B213" s="38"/>
      <c r="C213" s="43"/>
      <c r="D213" s="10" t="s">
        <v>20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40"/>
      <c r="AK213" s="40"/>
      <c r="AL213" s="45"/>
      <c r="AM213" s="45"/>
      <c r="AN213" s="45"/>
      <c r="AO213" s="45"/>
      <c r="AP213" s="45"/>
    </row>
    <row r="214" spans="1:42">
      <c r="A214" s="40"/>
      <c r="B214" s="39"/>
      <c r="C214" s="43"/>
      <c r="D214" s="19" t="s">
        <v>21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40"/>
      <c r="AK214" s="40"/>
      <c r="AL214" s="46"/>
      <c r="AM214" s="46"/>
      <c r="AN214" s="46"/>
      <c r="AO214" s="46"/>
      <c r="AP214" s="46"/>
    </row>
    <row r="215" spans="1:42">
      <c r="A215" s="39">
        <f t="shared" si="156"/>
        <v>66</v>
      </c>
      <c r="B215" s="38"/>
      <c r="C215" s="42" t="s">
        <v>24</v>
      </c>
      <c r="D215" s="10" t="s">
        <v>18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39">
        <f t="shared" ref="AJ215" si="217">COUNTIFS(E215:AI216,"✓")/2</f>
        <v>0</v>
      </c>
      <c r="AK215" s="39">
        <f t="shared" ref="AK215" si="218">SUM(N217)</f>
        <v>0</v>
      </c>
      <c r="AL215" s="44">
        <v>230000</v>
      </c>
      <c r="AM215" s="44">
        <v>25000</v>
      </c>
      <c r="AN215" s="44">
        <f t="shared" ref="AN215:AO215" si="219">AL215*AJ215</f>
        <v>0</v>
      </c>
      <c r="AO215" s="44">
        <f t="shared" si="219"/>
        <v>0</v>
      </c>
      <c r="AP215" s="44">
        <f t="shared" ref="AP215" si="220">AL215*AJ215+AM215*AK215</f>
        <v>0</v>
      </c>
    </row>
    <row r="216" spans="1:42">
      <c r="A216" s="40"/>
      <c r="B216" s="38"/>
      <c r="C216" s="43"/>
      <c r="D216" s="10" t="s">
        <v>20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40"/>
      <c r="AK216" s="40"/>
      <c r="AL216" s="45"/>
      <c r="AM216" s="45"/>
      <c r="AN216" s="45"/>
      <c r="AO216" s="45"/>
      <c r="AP216" s="45"/>
    </row>
    <row r="217" spans="1:42">
      <c r="A217" s="40"/>
      <c r="B217" s="39"/>
      <c r="C217" s="43"/>
      <c r="D217" s="19" t="s">
        <v>21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40"/>
      <c r="AK217" s="40"/>
      <c r="AL217" s="46"/>
      <c r="AM217" s="46"/>
      <c r="AN217" s="46"/>
      <c r="AO217" s="46"/>
      <c r="AP217" s="46"/>
    </row>
    <row r="218" spans="1:42">
      <c r="A218" s="39">
        <f t="shared" si="156"/>
        <v>67</v>
      </c>
      <c r="B218" s="38"/>
      <c r="C218" s="42" t="s">
        <v>24</v>
      </c>
      <c r="D218" s="10" t="s">
        <v>18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39">
        <f t="shared" ref="AJ218" si="221">COUNTIFS(E218:AI219,"✓")/2</f>
        <v>0</v>
      </c>
      <c r="AK218" s="39">
        <f t="shared" ref="AK218" si="222">SUM(N220)</f>
        <v>0</v>
      </c>
      <c r="AL218" s="44">
        <v>230000</v>
      </c>
      <c r="AM218" s="44">
        <v>25000</v>
      </c>
      <c r="AN218" s="44">
        <f t="shared" ref="AN218:AO218" si="223">AL218*AJ218</f>
        <v>0</v>
      </c>
      <c r="AO218" s="44">
        <f t="shared" si="223"/>
        <v>0</v>
      </c>
      <c r="AP218" s="44">
        <f t="shared" ref="AP218" si="224">AL218*AJ218+AM218*AK218</f>
        <v>0</v>
      </c>
    </row>
    <row r="219" spans="1:42">
      <c r="A219" s="40"/>
      <c r="B219" s="38"/>
      <c r="C219" s="43"/>
      <c r="D219" s="10" t="s">
        <v>20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40"/>
      <c r="AK219" s="40"/>
      <c r="AL219" s="45"/>
      <c r="AM219" s="45"/>
      <c r="AN219" s="45"/>
      <c r="AO219" s="45"/>
      <c r="AP219" s="45"/>
    </row>
    <row r="220" spans="1:42">
      <c r="A220" s="40"/>
      <c r="B220" s="39"/>
      <c r="C220" s="43"/>
      <c r="D220" s="19" t="s">
        <v>21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40"/>
      <c r="AK220" s="40"/>
      <c r="AL220" s="46"/>
      <c r="AM220" s="46"/>
      <c r="AN220" s="46"/>
      <c r="AO220" s="46"/>
      <c r="AP220" s="46"/>
    </row>
    <row r="221" spans="1:42">
      <c r="A221" s="39">
        <f t="shared" si="156"/>
        <v>68</v>
      </c>
      <c r="B221" s="38"/>
      <c r="C221" s="42" t="s">
        <v>24</v>
      </c>
      <c r="D221" s="10" t="s">
        <v>18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39">
        <f t="shared" ref="AJ221" si="225">COUNTIFS(E221:AI222,"✓")/2</f>
        <v>0</v>
      </c>
      <c r="AK221" s="39">
        <f t="shared" ref="AK221" si="226">SUM(N223)</f>
        <v>0</v>
      </c>
      <c r="AL221" s="44">
        <v>230000</v>
      </c>
      <c r="AM221" s="44">
        <v>25000</v>
      </c>
      <c r="AN221" s="44">
        <f t="shared" ref="AN221:AO221" si="227">AL221*AJ221</f>
        <v>0</v>
      </c>
      <c r="AO221" s="44">
        <f t="shared" si="227"/>
        <v>0</v>
      </c>
      <c r="AP221" s="44">
        <f t="shared" ref="AP221" si="228">AL221*AJ221+AM221*AK221</f>
        <v>0</v>
      </c>
    </row>
    <row r="222" spans="1:42">
      <c r="A222" s="40"/>
      <c r="B222" s="38"/>
      <c r="C222" s="43"/>
      <c r="D222" s="10" t="s">
        <v>20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40"/>
      <c r="AK222" s="40"/>
      <c r="AL222" s="45"/>
      <c r="AM222" s="45"/>
      <c r="AN222" s="45"/>
      <c r="AO222" s="45"/>
      <c r="AP222" s="45"/>
    </row>
    <row r="223" spans="1:42">
      <c r="A223" s="40"/>
      <c r="B223" s="39"/>
      <c r="C223" s="43"/>
      <c r="D223" s="19" t="s">
        <v>21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40"/>
      <c r="AK223" s="40"/>
      <c r="AL223" s="46"/>
      <c r="AM223" s="46"/>
      <c r="AN223" s="46"/>
      <c r="AO223" s="46"/>
      <c r="AP223" s="46"/>
    </row>
    <row r="224" spans="1:42">
      <c r="A224" s="39">
        <f t="shared" si="156"/>
        <v>69</v>
      </c>
      <c r="B224" s="38"/>
      <c r="C224" s="42" t="s">
        <v>24</v>
      </c>
      <c r="D224" s="10" t="s">
        <v>18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39">
        <f t="shared" ref="AJ224" si="229">COUNTIFS(E224:AI225,"✓")/2</f>
        <v>0</v>
      </c>
      <c r="AK224" s="39">
        <f t="shared" ref="AK224" si="230">SUM(N226)</f>
        <v>0</v>
      </c>
      <c r="AL224" s="44">
        <v>230000</v>
      </c>
      <c r="AM224" s="44">
        <v>25000</v>
      </c>
      <c r="AN224" s="44">
        <f t="shared" ref="AN224:AO224" si="231">AL224*AJ224</f>
        <v>0</v>
      </c>
      <c r="AO224" s="44">
        <f t="shared" si="231"/>
        <v>0</v>
      </c>
      <c r="AP224" s="44">
        <f t="shared" ref="AP224" si="232">AL224*AJ224+AM224*AK224</f>
        <v>0</v>
      </c>
    </row>
    <row r="225" spans="1:42">
      <c r="A225" s="40"/>
      <c r="B225" s="38"/>
      <c r="C225" s="43"/>
      <c r="D225" s="10" t="s">
        <v>20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40"/>
      <c r="AK225" s="40"/>
      <c r="AL225" s="45"/>
      <c r="AM225" s="45"/>
      <c r="AN225" s="45"/>
      <c r="AO225" s="45"/>
      <c r="AP225" s="45"/>
    </row>
    <row r="226" spans="1:42">
      <c r="A226" s="40"/>
      <c r="B226" s="39"/>
      <c r="C226" s="43"/>
      <c r="D226" s="19" t="s">
        <v>21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40"/>
      <c r="AK226" s="40"/>
      <c r="AL226" s="46"/>
      <c r="AM226" s="46"/>
      <c r="AN226" s="46"/>
      <c r="AO226" s="46"/>
      <c r="AP226" s="46"/>
    </row>
    <row r="227" spans="1:42">
      <c r="A227" s="39">
        <f t="shared" si="156"/>
        <v>70</v>
      </c>
      <c r="B227" s="38"/>
      <c r="C227" s="42" t="s">
        <v>24</v>
      </c>
      <c r="D227" s="10" t="s">
        <v>18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39">
        <f t="shared" ref="AJ227" si="233">COUNTIFS(E227:AI228,"✓")/2</f>
        <v>0</v>
      </c>
      <c r="AK227" s="39">
        <f t="shared" ref="AK227" si="234">SUM(N229)</f>
        <v>0</v>
      </c>
      <c r="AL227" s="44">
        <v>230000</v>
      </c>
      <c r="AM227" s="44">
        <v>25000</v>
      </c>
      <c r="AN227" s="44">
        <f t="shared" ref="AN227:AO227" si="235">AL227*AJ227</f>
        <v>0</v>
      </c>
      <c r="AO227" s="44">
        <f t="shared" si="235"/>
        <v>0</v>
      </c>
      <c r="AP227" s="44">
        <f t="shared" ref="AP227" si="236">AL227*AJ227+AM227*AK227</f>
        <v>0</v>
      </c>
    </row>
    <row r="228" spans="1:42">
      <c r="A228" s="40"/>
      <c r="B228" s="38"/>
      <c r="C228" s="43"/>
      <c r="D228" s="10" t="s">
        <v>20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40"/>
      <c r="AK228" s="40"/>
      <c r="AL228" s="45"/>
      <c r="AM228" s="45"/>
      <c r="AN228" s="45"/>
      <c r="AO228" s="45"/>
      <c r="AP228" s="45"/>
    </row>
    <row r="229" spans="1:42">
      <c r="A229" s="40"/>
      <c r="B229" s="39"/>
      <c r="C229" s="43"/>
      <c r="D229" s="19" t="s">
        <v>21</v>
      </c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40"/>
      <c r="AK229" s="40"/>
      <c r="AL229" s="46"/>
      <c r="AM229" s="46"/>
      <c r="AN229" s="46"/>
      <c r="AO229" s="46"/>
      <c r="AP229" s="46"/>
    </row>
    <row r="230" spans="1:42">
      <c r="A230" s="38">
        <f t="shared" ref="A230" si="237">A227+1</f>
        <v>71</v>
      </c>
      <c r="B230" s="66"/>
      <c r="C230" s="67" t="s">
        <v>24</v>
      </c>
      <c r="D230" s="10" t="s">
        <v>18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38">
        <f>COUNTIFS(E230:AI231,"✓")/2</f>
        <v>0</v>
      </c>
      <c r="AK230" s="38">
        <f>SUM(N232)</f>
        <v>0</v>
      </c>
      <c r="AL230" s="47">
        <v>230000</v>
      </c>
      <c r="AM230" s="47">
        <v>25000</v>
      </c>
      <c r="AN230" s="47">
        <f>AL230*AJ230</f>
        <v>0</v>
      </c>
      <c r="AO230" s="47">
        <f>AM230*AK230</f>
        <v>0</v>
      </c>
      <c r="AP230" s="47">
        <f t="shared" ref="AP230" si="238">AL230*AJ230+AM230*AK230</f>
        <v>0</v>
      </c>
    </row>
    <row r="231" spans="1:42">
      <c r="A231" s="38"/>
      <c r="B231" s="66"/>
      <c r="C231" s="68"/>
      <c r="D231" s="10" t="s">
        <v>20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38"/>
      <c r="AK231" s="38"/>
      <c r="AL231" s="47"/>
      <c r="AM231" s="47"/>
      <c r="AN231" s="47"/>
      <c r="AO231" s="47"/>
      <c r="AP231" s="47"/>
    </row>
    <row r="232" spans="1:42">
      <c r="A232" s="38"/>
      <c r="B232" s="66"/>
      <c r="C232" s="68"/>
      <c r="D232" s="12" t="s">
        <v>21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38"/>
      <c r="AK232" s="38"/>
      <c r="AL232" s="47"/>
      <c r="AM232" s="47"/>
      <c r="AN232" s="47"/>
      <c r="AO232" s="47"/>
      <c r="AP232" s="47"/>
    </row>
    <row r="233" spans="1:42">
      <c r="A233" s="38">
        <f t="shared" ref="A233" si="239">A230+1</f>
        <v>72</v>
      </c>
      <c r="B233" s="66"/>
      <c r="C233" s="67" t="s">
        <v>24</v>
      </c>
      <c r="D233" s="10" t="s">
        <v>18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38">
        <f>COUNTIFS(E233:AI234,"✓")/2</f>
        <v>0</v>
      </c>
      <c r="AK233" s="38">
        <f>SUM(N235)</f>
        <v>0</v>
      </c>
      <c r="AL233" s="47">
        <v>230000</v>
      </c>
      <c r="AM233" s="47">
        <v>25000</v>
      </c>
      <c r="AN233" s="47">
        <f>AL233*AJ233</f>
        <v>0</v>
      </c>
      <c r="AO233" s="47">
        <f>AM233*AK233</f>
        <v>0</v>
      </c>
      <c r="AP233" s="47">
        <f t="shared" ref="AP233" si="240">AL233*AJ233+AM233*AK233</f>
        <v>0</v>
      </c>
    </row>
    <row r="234" spans="1:42">
      <c r="A234" s="38"/>
      <c r="B234" s="66"/>
      <c r="C234" s="68"/>
      <c r="D234" s="10" t="s">
        <v>20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38"/>
      <c r="AK234" s="38"/>
      <c r="AL234" s="47"/>
      <c r="AM234" s="47"/>
      <c r="AN234" s="47"/>
      <c r="AO234" s="47"/>
      <c r="AP234" s="47"/>
    </row>
    <row r="235" spans="1:42">
      <c r="A235" s="38"/>
      <c r="B235" s="66"/>
      <c r="C235" s="68"/>
      <c r="D235" s="12" t="s">
        <v>21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38"/>
      <c r="AK235" s="38"/>
      <c r="AL235" s="47"/>
      <c r="AM235" s="47"/>
      <c r="AN235" s="47"/>
      <c r="AO235" s="47"/>
      <c r="AP235" s="47"/>
    </row>
    <row r="236" spans="1:42">
      <c r="A236" s="38">
        <f t="shared" ref="A236" si="241">A233+1</f>
        <v>73</v>
      </c>
      <c r="B236" s="66"/>
      <c r="C236" s="67" t="s">
        <v>24</v>
      </c>
      <c r="D236" s="10" t="s">
        <v>18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38">
        <f>COUNTIFS(E236:AI238,"✓")/2</f>
        <v>0</v>
      </c>
      <c r="AK236" s="38">
        <f t="shared" ref="AK236" si="242">SUM(O238:AG238)</f>
        <v>0</v>
      </c>
      <c r="AL236" s="47">
        <v>230000</v>
      </c>
      <c r="AM236" s="47">
        <v>25000</v>
      </c>
      <c r="AN236" s="47">
        <f>AL236*AJ236</f>
        <v>0</v>
      </c>
      <c r="AO236" s="47">
        <f>AM236*AK236</f>
        <v>0</v>
      </c>
      <c r="AP236" s="47">
        <f t="shared" ref="AP236" si="243">AL236*AJ236+AM236*AK236</f>
        <v>0</v>
      </c>
    </row>
    <row r="237" spans="1:42">
      <c r="A237" s="38"/>
      <c r="B237" s="66"/>
      <c r="C237" s="68"/>
      <c r="D237" s="10" t="s">
        <v>20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38"/>
      <c r="AK237" s="38"/>
      <c r="AL237" s="47"/>
      <c r="AM237" s="47"/>
      <c r="AN237" s="47"/>
      <c r="AO237" s="47"/>
      <c r="AP237" s="47"/>
    </row>
    <row r="238" spans="1:42">
      <c r="A238" s="38"/>
      <c r="B238" s="66"/>
      <c r="C238" s="68"/>
      <c r="D238" s="12" t="s">
        <v>21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38"/>
      <c r="AK238" s="38"/>
      <c r="AL238" s="47"/>
      <c r="AM238" s="47"/>
      <c r="AN238" s="47"/>
      <c r="AO238" s="47"/>
      <c r="AP238" s="47"/>
    </row>
    <row r="239" spans="1:42">
      <c r="A239" s="60" t="s">
        <v>27</v>
      </c>
      <c r="B239" s="61"/>
      <c r="C239" s="61"/>
      <c r="D239" s="62"/>
      <c r="E239" s="52">
        <f t="shared" ref="E239:AI239" si="244">COUNTIFS(E5:E238,"✓")/2</f>
        <v>0</v>
      </c>
      <c r="F239" s="52">
        <f t="shared" si="244"/>
        <v>0</v>
      </c>
      <c r="G239" s="52">
        <f t="shared" si="244"/>
        <v>0</v>
      </c>
      <c r="H239" s="52">
        <f t="shared" si="244"/>
        <v>0</v>
      </c>
      <c r="I239" s="52">
        <f t="shared" si="244"/>
        <v>0</v>
      </c>
      <c r="J239" s="52">
        <f t="shared" si="244"/>
        <v>0</v>
      </c>
      <c r="K239" s="56">
        <f t="shared" si="244"/>
        <v>0</v>
      </c>
      <c r="L239" s="52">
        <f t="shared" si="244"/>
        <v>0</v>
      </c>
      <c r="M239" s="52">
        <f t="shared" si="244"/>
        <v>0</v>
      </c>
      <c r="N239" s="52">
        <f t="shared" si="244"/>
        <v>0</v>
      </c>
      <c r="O239" s="52">
        <f t="shared" si="244"/>
        <v>0</v>
      </c>
      <c r="P239" s="52">
        <f t="shared" si="244"/>
        <v>0</v>
      </c>
      <c r="Q239" s="52">
        <f t="shared" si="244"/>
        <v>0</v>
      </c>
      <c r="R239" s="52">
        <f t="shared" si="244"/>
        <v>0</v>
      </c>
      <c r="S239" s="52">
        <f t="shared" si="244"/>
        <v>0</v>
      </c>
      <c r="T239" s="52">
        <f t="shared" si="244"/>
        <v>0</v>
      </c>
      <c r="U239" s="52">
        <f t="shared" si="244"/>
        <v>0</v>
      </c>
      <c r="V239" s="52">
        <f t="shared" si="244"/>
        <v>0</v>
      </c>
      <c r="W239" s="52">
        <f t="shared" si="244"/>
        <v>0</v>
      </c>
      <c r="X239" s="52">
        <f t="shared" si="244"/>
        <v>0</v>
      </c>
      <c r="Y239" s="52">
        <f t="shared" si="244"/>
        <v>0</v>
      </c>
      <c r="Z239" s="52">
        <f t="shared" si="244"/>
        <v>0</v>
      </c>
      <c r="AA239" s="52">
        <f t="shared" si="244"/>
        <v>0</v>
      </c>
      <c r="AB239" s="52">
        <f t="shared" si="244"/>
        <v>0</v>
      </c>
      <c r="AC239" s="52">
        <f t="shared" si="244"/>
        <v>0</v>
      </c>
      <c r="AD239" s="52">
        <f t="shared" si="244"/>
        <v>0</v>
      </c>
      <c r="AE239" s="52">
        <f t="shared" si="244"/>
        <v>0</v>
      </c>
      <c r="AF239" s="52">
        <f t="shared" si="244"/>
        <v>0</v>
      </c>
      <c r="AG239" s="52">
        <f t="shared" si="244"/>
        <v>0</v>
      </c>
      <c r="AH239" s="52">
        <f t="shared" si="244"/>
        <v>0</v>
      </c>
      <c r="AI239" s="52">
        <f t="shared" si="244"/>
        <v>0</v>
      </c>
      <c r="AJ239" s="54">
        <f>SUM(E239:AI240)</f>
        <v>0</v>
      </c>
      <c r="AK239" s="52">
        <f>SUM(AK4:AK238)</f>
        <v>0</v>
      </c>
      <c r="AL239" s="50"/>
      <c r="AM239" s="50"/>
      <c r="AN239" s="50">
        <f>SUM(AN4:AN238)</f>
        <v>0</v>
      </c>
      <c r="AO239" s="50">
        <f>SUM(AO4:AO238)</f>
        <v>0</v>
      </c>
      <c r="AP239" s="50">
        <f>SUM(AP4:AP238)</f>
        <v>0</v>
      </c>
    </row>
    <row r="240" spans="1:42">
      <c r="A240" s="63"/>
      <c r="B240" s="64"/>
      <c r="C240" s="64"/>
      <c r="D240" s="65"/>
      <c r="E240" s="53"/>
      <c r="F240" s="53"/>
      <c r="G240" s="53"/>
      <c r="H240" s="53"/>
      <c r="I240" s="53"/>
      <c r="J240" s="53"/>
      <c r="K240" s="57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5"/>
      <c r="AK240" s="53"/>
      <c r="AL240" s="51"/>
      <c r="AM240" s="51"/>
      <c r="AN240" s="51"/>
      <c r="AO240" s="51"/>
      <c r="AP240" s="51"/>
    </row>
    <row r="241" spans="1:42" ht="16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4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5"/>
      <c r="AM241" s="15"/>
      <c r="AN241" s="15"/>
      <c r="AO241" s="15"/>
      <c r="AP241" s="15"/>
    </row>
  </sheetData>
  <autoFilter ref="AP3:AP240" xr:uid="{00000000-0009-0000-0000-000000000000}"/>
  <mergeCells count="833">
    <mergeCell ref="A1:U1"/>
    <mergeCell ref="A2:U2"/>
    <mergeCell ref="A3:A4"/>
    <mergeCell ref="B3:B4"/>
    <mergeCell ref="C3:C4"/>
    <mergeCell ref="D3:D4"/>
    <mergeCell ref="E3:AI3"/>
    <mergeCell ref="AP3:AP4"/>
    <mergeCell ref="A5:A7"/>
    <mergeCell ref="B5:B7"/>
    <mergeCell ref="C5:C7"/>
    <mergeCell ref="AJ5:AJ7"/>
    <mergeCell ref="AK5:AK7"/>
    <mergeCell ref="AL5:AL7"/>
    <mergeCell ref="AM5:AM7"/>
    <mergeCell ref="AN5:AN7"/>
    <mergeCell ref="AO5:AO7"/>
    <mergeCell ref="AJ3:AJ4"/>
    <mergeCell ref="AK3:AK4"/>
    <mergeCell ref="AL3:AL4"/>
    <mergeCell ref="AM3:AM4"/>
    <mergeCell ref="AN3:AN4"/>
    <mergeCell ref="AO3:AO4"/>
    <mergeCell ref="AP5:AP7"/>
    <mergeCell ref="AP8:AP10"/>
    <mergeCell ref="A11:A13"/>
    <mergeCell ref="B11:B13"/>
    <mergeCell ref="C11:C13"/>
    <mergeCell ref="AJ11:AJ13"/>
    <mergeCell ref="AK11:AK13"/>
    <mergeCell ref="AL11:AL13"/>
    <mergeCell ref="AM11:AM13"/>
    <mergeCell ref="AN11:AN13"/>
    <mergeCell ref="AO11:AO13"/>
    <mergeCell ref="AP11:AP13"/>
    <mergeCell ref="A8:A10"/>
    <mergeCell ref="B8:B10"/>
    <mergeCell ref="C8:C10"/>
    <mergeCell ref="AJ8:AJ10"/>
    <mergeCell ref="AK8:AK10"/>
    <mergeCell ref="AL8:AL10"/>
    <mergeCell ref="AM8:AM10"/>
    <mergeCell ref="AN8:AN10"/>
    <mergeCell ref="AO8:AO10"/>
    <mergeCell ref="AP14:AP16"/>
    <mergeCell ref="A17:A19"/>
    <mergeCell ref="B17:B19"/>
    <mergeCell ref="C17:C19"/>
    <mergeCell ref="AJ17:AJ19"/>
    <mergeCell ref="AK17:AK19"/>
    <mergeCell ref="AL17:AL19"/>
    <mergeCell ref="AM17:AM19"/>
    <mergeCell ref="AN17:AN19"/>
    <mergeCell ref="AO17:AO19"/>
    <mergeCell ref="AP17:AP19"/>
    <mergeCell ref="A14:A16"/>
    <mergeCell ref="B14:B16"/>
    <mergeCell ref="C14:C16"/>
    <mergeCell ref="AJ14:AJ16"/>
    <mergeCell ref="AK14:AK16"/>
    <mergeCell ref="AL14:AL16"/>
    <mergeCell ref="AM14:AM16"/>
    <mergeCell ref="AN14:AN16"/>
    <mergeCell ref="AO14:AO16"/>
    <mergeCell ref="AP20:AP22"/>
    <mergeCell ref="A23:A25"/>
    <mergeCell ref="B23:B25"/>
    <mergeCell ref="C23:C25"/>
    <mergeCell ref="AJ23:AJ25"/>
    <mergeCell ref="AK23:AK25"/>
    <mergeCell ref="AL23:AL25"/>
    <mergeCell ref="AM23:AM25"/>
    <mergeCell ref="AN23:AN25"/>
    <mergeCell ref="AO23:AO25"/>
    <mergeCell ref="AP23:AP25"/>
    <mergeCell ref="A20:A22"/>
    <mergeCell ref="B20:B22"/>
    <mergeCell ref="C20:C22"/>
    <mergeCell ref="AJ20:AJ22"/>
    <mergeCell ref="AK20:AK22"/>
    <mergeCell ref="AL20:AL22"/>
    <mergeCell ref="AM20:AM22"/>
    <mergeCell ref="AN20:AN22"/>
    <mergeCell ref="AO20:AO22"/>
    <mergeCell ref="AP26:AP28"/>
    <mergeCell ref="A29:A31"/>
    <mergeCell ref="B29:B31"/>
    <mergeCell ref="C29:C31"/>
    <mergeCell ref="AJ29:AJ31"/>
    <mergeCell ref="AK29:AK31"/>
    <mergeCell ref="AL29:AL31"/>
    <mergeCell ref="AM29:AM31"/>
    <mergeCell ref="AN29:AN31"/>
    <mergeCell ref="AO29:AO31"/>
    <mergeCell ref="AP29:AP31"/>
    <mergeCell ref="A26:A28"/>
    <mergeCell ref="B26:B28"/>
    <mergeCell ref="C26:C28"/>
    <mergeCell ref="AJ26:AJ28"/>
    <mergeCell ref="AK26:AK28"/>
    <mergeCell ref="AL26:AL28"/>
    <mergeCell ref="AM26:AM28"/>
    <mergeCell ref="AN26:AN28"/>
    <mergeCell ref="AO26:AO28"/>
    <mergeCell ref="AP32:AP34"/>
    <mergeCell ref="A35:A37"/>
    <mergeCell ref="B35:B37"/>
    <mergeCell ref="C35:C37"/>
    <mergeCell ref="AJ35:AJ37"/>
    <mergeCell ref="AK35:AK37"/>
    <mergeCell ref="AL35:AL37"/>
    <mergeCell ref="AM35:AM37"/>
    <mergeCell ref="AN35:AN37"/>
    <mergeCell ref="AO35:AO37"/>
    <mergeCell ref="AP35:AP37"/>
    <mergeCell ref="A32:A34"/>
    <mergeCell ref="B32:B34"/>
    <mergeCell ref="C32:C34"/>
    <mergeCell ref="AJ32:AJ34"/>
    <mergeCell ref="AK32:AK34"/>
    <mergeCell ref="AL32:AL34"/>
    <mergeCell ref="AM32:AM34"/>
    <mergeCell ref="AN32:AN34"/>
    <mergeCell ref="AO32:AO34"/>
    <mergeCell ref="AP38:AP40"/>
    <mergeCell ref="A41:A43"/>
    <mergeCell ref="B41:B43"/>
    <mergeCell ref="C41:C43"/>
    <mergeCell ref="AJ41:AJ43"/>
    <mergeCell ref="AK41:AK43"/>
    <mergeCell ref="AL41:AL43"/>
    <mergeCell ref="AM41:AM43"/>
    <mergeCell ref="AN41:AN43"/>
    <mergeCell ref="AO41:AO43"/>
    <mergeCell ref="AP41:AP43"/>
    <mergeCell ref="A38:A40"/>
    <mergeCell ref="B38:B40"/>
    <mergeCell ref="C38:C40"/>
    <mergeCell ref="AJ38:AJ40"/>
    <mergeCell ref="AK38:AK40"/>
    <mergeCell ref="AL38:AL40"/>
    <mergeCell ref="AM38:AM40"/>
    <mergeCell ref="AN38:AN40"/>
    <mergeCell ref="AO38:AO40"/>
    <mergeCell ref="AP44:AP46"/>
    <mergeCell ref="A47:A49"/>
    <mergeCell ref="B47:B49"/>
    <mergeCell ref="C47:C49"/>
    <mergeCell ref="AJ47:AJ49"/>
    <mergeCell ref="AK47:AK49"/>
    <mergeCell ref="AL47:AL49"/>
    <mergeCell ref="AM47:AM49"/>
    <mergeCell ref="AN47:AN49"/>
    <mergeCell ref="AO47:AO49"/>
    <mergeCell ref="AP47:AP49"/>
    <mergeCell ref="A44:A46"/>
    <mergeCell ref="B44:B46"/>
    <mergeCell ref="C44:C46"/>
    <mergeCell ref="AJ44:AJ46"/>
    <mergeCell ref="AK44:AK46"/>
    <mergeCell ref="AL44:AL46"/>
    <mergeCell ref="AM44:AM46"/>
    <mergeCell ref="AN44:AN46"/>
    <mergeCell ref="AO44:AO46"/>
    <mergeCell ref="AP50:AP52"/>
    <mergeCell ref="A53:A55"/>
    <mergeCell ref="B53:B55"/>
    <mergeCell ref="C53:C55"/>
    <mergeCell ref="AJ53:AJ55"/>
    <mergeCell ref="AK53:AK55"/>
    <mergeCell ref="AL53:AL55"/>
    <mergeCell ref="AM53:AM55"/>
    <mergeCell ref="AN53:AN55"/>
    <mergeCell ref="AO53:AO55"/>
    <mergeCell ref="AP53:AP55"/>
    <mergeCell ref="A50:A52"/>
    <mergeCell ref="B50:B52"/>
    <mergeCell ref="C50:C52"/>
    <mergeCell ref="AJ50:AJ52"/>
    <mergeCell ref="AK50:AK52"/>
    <mergeCell ref="AL50:AL52"/>
    <mergeCell ref="AM50:AM52"/>
    <mergeCell ref="AN50:AN52"/>
    <mergeCell ref="AO50:AO52"/>
    <mergeCell ref="AP56:AP58"/>
    <mergeCell ref="A59:A61"/>
    <mergeCell ref="B59:B61"/>
    <mergeCell ref="C59:C61"/>
    <mergeCell ref="AJ59:AJ61"/>
    <mergeCell ref="AK59:AK61"/>
    <mergeCell ref="AL59:AL61"/>
    <mergeCell ref="AM59:AM61"/>
    <mergeCell ref="AN59:AN61"/>
    <mergeCell ref="AO59:AO61"/>
    <mergeCell ref="AP59:AP61"/>
    <mergeCell ref="A56:A58"/>
    <mergeCell ref="B56:B58"/>
    <mergeCell ref="C56:C58"/>
    <mergeCell ref="AJ56:AJ58"/>
    <mergeCell ref="AK56:AK58"/>
    <mergeCell ref="AL56:AL58"/>
    <mergeCell ref="AM56:AM58"/>
    <mergeCell ref="AN56:AN58"/>
    <mergeCell ref="AO56:AO58"/>
    <mergeCell ref="AP62:AP64"/>
    <mergeCell ref="A65:A67"/>
    <mergeCell ref="B65:B67"/>
    <mergeCell ref="C65:C67"/>
    <mergeCell ref="AJ65:AJ67"/>
    <mergeCell ref="AK65:AK67"/>
    <mergeCell ref="AL65:AL67"/>
    <mergeCell ref="AM65:AM67"/>
    <mergeCell ref="AN65:AN67"/>
    <mergeCell ref="AO65:AO67"/>
    <mergeCell ref="AP65:AP67"/>
    <mergeCell ref="A62:A64"/>
    <mergeCell ref="B62:B64"/>
    <mergeCell ref="C62:C64"/>
    <mergeCell ref="AJ62:AJ64"/>
    <mergeCell ref="AK62:AK64"/>
    <mergeCell ref="AL62:AL64"/>
    <mergeCell ref="AM62:AM64"/>
    <mergeCell ref="AN62:AN64"/>
    <mergeCell ref="AO62:AO64"/>
    <mergeCell ref="AP68:AP70"/>
    <mergeCell ref="A71:A73"/>
    <mergeCell ref="B71:B73"/>
    <mergeCell ref="C71:C73"/>
    <mergeCell ref="AJ71:AJ73"/>
    <mergeCell ref="AK71:AK73"/>
    <mergeCell ref="AL71:AL73"/>
    <mergeCell ref="AM71:AM73"/>
    <mergeCell ref="AN71:AN73"/>
    <mergeCell ref="AO71:AO73"/>
    <mergeCell ref="AP71:AP73"/>
    <mergeCell ref="A68:A70"/>
    <mergeCell ref="B68:B70"/>
    <mergeCell ref="C68:C70"/>
    <mergeCell ref="AJ68:AJ70"/>
    <mergeCell ref="AK68:AK70"/>
    <mergeCell ref="AL68:AL70"/>
    <mergeCell ref="AM68:AM70"/>
    <mergeCell ref="AN68:AN70"/>
    <mergeCell ref="AO68:AO70"/>
    <mergeCell ref="AP74:AP76"/>
    <mergeCell ref="A77:A79"/>
    <mergeCell ref="B77:B79"/>
    <mergeCell ref="C77:C79"/>
    <mergeCell ref="AJ77:AJ79"/>
    <mergeCell ref="AK77:AK79"/>
    <mergeCell ref="AL77:AL79"/>
    <mergeCell ref="AM77:AM79"/>
    <mergeCell ref="AN77:AN79"/>
    <mergeCell ref="AO77:AO79"/>
    <mergeCell ref="AP77:AP79"/>
    <mergeCell ref="A74:A76"/>
    <mergeCell ref="B74:B76"/>
    <mergeCell ref="C74:C76"/>
    <mergeCell ref="AJ74:AJ76"/>
    <mergeCell ref="AK74:AK76"/>
    <mergeCell ref="AL74:AL76"/>
    <mergeCell ref="AM74:AM76"/>
    <mergeCell ref="AN74:AN76"/>
    <mergeCell ref="AO74:AO76"/>
    <mergeCell ref="AP80:AP82"/>
    <mergeCell ref="A83:A85"/>
    <mergeCell ref="B83:B85"/>
    <mergeCell ref="C83:C85"/>
    <mergeCell ref="AJ83:AJ85"/>
    <mergeCell ref="AK83:AK85"/>
    <mergeCell ref="AL83:AL85"/>
    <mergeCell ref="AM83:AM85"/>
    <mergeCell ref="AN83:AN85"/>
    <mergeCell ref="AO83:AO85"/>
    <mergeCell ref="AP83:AP85"/>
    <mergeCell ref="A80:A82"/>
    <mergeCell ref="B80:B82"/>
    <mergeCell ref="C80:C82"/>
    <mergeCell ref="AJ80:AJ82"/>
    <mergeCell ref="AK80:AK82"/>
    <mergeCell ref="AL80:AL82"/>
    <mergeCell ref="AM80:AM82"/>
    <mergeCell ref="AN80:AN82"/>
    <mergeCell ref="AO80:AO82"/>
    <mergeCell ref="AP86:AP88"/>
    <mergeCell ref="A89:A91"/>
    <mergeCell ref="B89:B91"/>
    <mergeCell ref="C89:C91"/>
    <mergeCell ref="AJ89:AJ91"/>
    <mergeCell ref="AK89:AK91"/>
    <mergeCell ref="AL89:AL91"/>
    <mergeCell ref="AM89:AM91"/>
    <mergeCell ref="AN89:AN91"/>
    <mergeCell ref="AO89:AO91"/>
    <mergeCell ref="AP89:AP91"/>
    <mergeCell ref="A86:A88"/>
    <mergeCell ref="B86:B88"/>
    <mergeCell ref="C86:C88"/>
    <mergeCell ref="AJ86:AJ88"/>
    <mergeCell ref="AK86:AK88"/>
    <mergeCell ref="AL86:AL88"/>
    <mergeCell ref="AM86:AM88"/>
    <mergeCell ref="AN86:AN88"/>
    <mergeCell ref="AO86:AO88"/>
    <mergeCell ref="AP92:AP94"/>
    <mergeCell ref="A95:A97"/>
    <mergeCell ref="B95:B97"/>
    <mergeCell ref="C95:C97"/>
    <mergeCell ref="AJ95:AJ97"/>
    <mergeCell ref="AK95:AK97"/>
    <mergeCell ref="AL95:AL97"/>
    <mergeCell ref="AM95:AM97"/>
    <mergeCell ref="AN95:AN97"/>
    <mergeCell ref="AO95:AO97"/>
    <mergeCell ref="AP95:AP97"/>
    <mergeCell ref="A92:A94"/>
    <mergeCell ref="B92:B94"/>
    <mergeCell ref="C92:C94"/>
    <mergeCell ref="AJ92:AJ94"/>
    <mergeCell ref="AK92:AK94"/>
    <mergeCell ref="AL92:AL94"/>
    <mergeCell ref="AM92:AM94"/>
    <mergeCell ref="AN92:AN94"/>
    <mergeCell ref="AO92:AO94"/>
    <mergeCell ref="AP98:AP100"/>
    <mergeCell ref="A101:A103"/>
    <mergeCell ref="B101:B103"/>
    <mergeCell ref="C101:C103"/>
    <mergeCell ref="AJ101:AJ103"/>
    <mergeCell ref="AK101:AK103"/>
    <mergeCell ref="AL101:AL103"/>
    <mergeCell ref="AM101:AM103"/>
    <mergeCell ref="AN101:AN103"/>
    <mergeCell ref="AO101:AO103"/>
    <mergeCell ref="AP101:AP103"/>
    <mergeCell ref="A98:A100"/>
    <mergeCell ref="B98:B100"/>
    <mergeCell ref="C98:C100"/>
    <mergeCell ref="AJ98:AJ100"/>
    <mergeCell ref="AK98:AK100"/>
    <mergeCell ref="AL98:AL100"/>
    <mergeCell ref="AM98:AM100"/>
    <mergeCell ref="AN98:AN100"/>
    <mergeCell ref="AO98:AO100"/>
    <mergeCell ref="AP104:AP106"/>
    <mergeCell ref="A107:A109"/>
    <mergeCell ref="B107:B109"/>
    <mergeCell ref="C107:C109"/>
    <mergeCell ref="AJ107:AJ109"/>
    <mergeCell ref="AK107:AK109"/>
    <mergeCell ref="AL107:AL109"/>
    <mergeCell ref="AM107:AM109"/>
    <mergeCell ref="AN107:AN109"/>
    <mergeCell ref="AO107:AO109"/>
    <mergeCell ref="AP107:AP109"/>
    <mergeCell ref="A104:A106"/>
    <mergeCell ref="B104:B106"/>
    <mergeCell ref="C104:C106"/>
    <mergeCell ref="AJ104:AJ106"/>
    <mergeCell ref="AK104:AK106"/>
    <mergeCell ref="AL104:AL106"/>
    <mergeCell ref="AM104:AM106"/>
    <mergeCell ref="AN104:AN106"/>
    <mergeCell ref="AO104:AO106"/>
    <mergeCell ref="AP110:AP112"/>
    <mergeCell ref="A113:A115"/>
    <mergeCell ref="B113:B115"/>
    <mergeCell ref="C113:C115"/>
    <mergeCell ref="AJ113:AJ115"/>
    <mergeCell ref="AK113:AK115"/>
    <mergeCell ref="AL113:AL115"/>
    <mergeCell ref="AM113:AM115"/>
    <mergeCell ref="AN113:AN115"/>
    <mergeCell ref="AO113:AO115"/>
    <mergeCell ref="AP113:AP115"/>
    <mergeCell ref="A110:A112"/>
    <mergeCell ref="B110:B112"/>
    <mergeCell ref="C110:C112"/>
    <mergeCell ref="AJ110:AJ112"/>
    <mergeCell ref="AK110:AK112"/>
    <mergeCell ref="AL110:AL112"/>
    <mergeCell ref="AM110:AM112"/>
    <mergeCell ref="AN110:AN112"/>
    <mergeCell ref="AO110:AO112"/>
    <mergeCell ref="AP116:AP118"/>
    <mergeCell ref="A119:A121"/>
    <mergeCell ref="B119:B121"/>
    <mergeCell ref="C119:C121"/>
    <mergeCell ref="AJ119:AJ121"/>
    <mergeCell ref="AK119:AK121"/>
    <mergeCell ref="AL119:AL121"/>
    <mergeCell ref="AM119:AM121"/>
    <mergeCell ref="AN119:AN121"/>
    <mergeCell ref="AO119:AO121"/>
    <mergeCell ref="AP119:AP121"/>
    <mergeCell ref="A116:A118"/>
    <mergeCell ref="B116:B118"/>
    <mergeCell ref="C116:C118"/>
    <mergeCell ref="AJ116:AJ118"/>
    <mergeCell ref="AK116:AK118"/>
    <mergeCell ref="AL116:AL118"/>
    <mergeCell ref="AM116:AM118"/>
    <mergeCell ref="AN116:AN118"/>
    <mergeCell ref="AO116:AO118"/>
    <mergeCell ref="AP122:AP124"/>
    <mergeCell ref="A125:A127"/>
    <mergeCell ref="B125:B127"/>
    <mergeCell ref="C125:C127"/>
    <mergeCell ref="AJ125:AJ127"/>
    <mergeCell ref="AK125:AK127"/>
    <mergeCell ref="AL125:AL127"/>
    <mergeCell ref="AM125:AM127"/>
    <mergeCell ref="AN125:AN127"/>
    <mergeCell ref="AO125:AO127"/>
    <mergeCell ref="AP125:AP127"/>
    <mergeCell ref="A122:A124"/>
    <mergeCell ref="B122:B124"/>
    <mergeCell ref="C122:C124"/>
    <mergeCell ref="AJ122:AJ124"/>
    <mergeCell ref="AK122:AK124"/>
    <mergeCell ref="AL122:AL124"/>
    <mergeCell ref="AM122:AM124"/>
    <mergeCell ref="AN122:AN124"/>
    <mergeCell ref="AO122:AO124"/>
    <mergeCell ref="AP128:AP130"/>
    <mergeCell ref="A131:A133"/>
    <mergeCell ref="B131:B133"/>
    <mergeCell ref="C131:C133"/>
    <mergeCell ref="AJ131:AJ133"/>
    <mergeCell ref="AK131:AK133"/>
    <mergeCell ref="AL131:AL133"/>
    <mergeCell ref="AM131:AM133"/>
    <mergeCell ref="AN131:AN133"/>
    <mergeCell ref="AO131:AO133"/>
    <mergeCell ref="AP131:AP133"/>
    <mergeCell ref="A128:A130"/>
    <mergeCell ref="B128:B130"/>
    <mergeCell ref="C128:C130"/>
    <mergeCell ref="AJ128:AJ130"/>
    <mergeCell ref="AK128:AK130"/>
    <mergeCell ref="AL128:AL130"/>
    <mergeCell ref="AM128:AM130"/>
    <mergeCell ref="AN128:AN130"/>
    <mergeCell ref="AO128:AO130"/>
    <mergeCell ref="AP134:AP136"/>
    <mergeCell ref="A137:A139"/>
    <mergeCell ref="B137:B139"/>
    <mergeCell ref="C137:C139"/>
    <mergeCell ref="AJ137:AJ139"/>
    <mergeCell ref="AK137:AK139"/>
    <mergeCell ref="AL137:AL139"/>
    <mergeCell ref="AM137:AM139"/>
    <mergeCell ref="AN137:AN139"/>
    <mergeCell ref="AO137:AO139"/>
    <mergeCell ref="AP137:AP139"/>
    <mergeCell ref="A134:A136"/>
    <mergeCell ref="B134:B136"/>
    <mergeCell ref="C134:C136"/>
    <mergeCell ref="AJ134:AJ136"/>
    <mergeCell ref="AK134:AK136"/>
    <mergeCell ref="AL134:AL136"/>
    <mergeCell ref="AM134:AM136"/>
    <mergeCell ref="AN134:AN136"/>
    <mergeCell ref="AO134:AO136"/>
    <mergeCell ref="AP140:AP142"/>
    <mergeCell ref="A143:A145"/>
    <mergeCell ref="B143:B145"/>
    <mergeCell ref="C143:C145"/>
    <mergeCell ref="AJ143:AJ145"/>
    <mergeCell ref="AK143:AK145"/>
    <mergeCell ref="AL143:AL145"/>
    <mergeCell ref="AM143:AM145"/>
    <mergeCell ref="AN143:AN145"/>
    <mergeCell ref="AO143:AO145"/>
    <mergeCell ref="AP143:AP145"/>
    <mergeCell ref="A140:A142"/>
    <mergeCell ref="B140:B142"/>
    <mergeCell ref="C140:C142"/>
    <mergeCell ref="AJ140:AJ142"/>
    <mergeCell ref="AK140:AK142"/>
    <mergeCell ref="AL140:AL142"/>
    <mergeCell ref="AM140:AM142"/>
    <mergeCell ref="AN140:AN142"/>
    <mergeCell ref="AO140:AO142"/>
    <mergeCell ref="AP146:AP148"/>
    <mergeCell ref="A149:A151"/>
    <mergeCell ref="B149:B151"/>
    <mergeCell ref="C149:C151"/>
    <mergeCell ref="AJ149:AJ151"/>
    <mergeCell ref="AK149:AK151"/>
    <mergeCell ref="AL149:AL151"/>
    <mergeCell ref="AM149:AM151"/>
    <mergeCell ref="AN149:AN151"/>
    <mergeCell ref="AO149:AO151"/>
    <mergeCell ref="AP149:AP151"/>
    <mergeCell ref="A146:A148"/>
    <mergeCell ref="B146:B148"/>
    <mergeCell ref="C146:C148"/>
    <mergeCell ref="AJ146:AJ148"/>
    <mergeCell ref="AK146:AK148"/>
    <mergeCell ref="AL146:AL148"/>
    <mergeCell ref="AM146:AM148"/>
    <mergeCell ref="AN146:AN148"/>
    <mergeCell ref="AO146:AO148"/>
    <mergeCell ref="AP152:AP154"/>
    <mergeCell ref="A155:A157"/>
    <mergeCell ref="B155:B157"/>
    <mergeCell ref="C155:C157"/>
    <mergeCell ref="AJ155:AJ157"/>
    <mergeCell ref="AK155:AK157"/>
    <mergeCell ref="AL155:AL157"/>
    <mergeCell ref="AM155:AM157"/>
    <mergeCell ref="AN155:AN157"/>
    <mergeCell ref="AO155:AO157"/>
    <mergeCell ref="AP155:AP157"/>
    <mergeCell ref="A152:A154"/>
    <mergeCell ref="B152:B154"/>
    <mergeCell ref="C152:C154"/>
    <mergeCell ref="AJ152:AJ154"/>
    <mergeCell ref="AK152:AK154"/>
    <mergeCell ref="AL152:AL154"/>
    <mergeCell ref="AM152:AM154"/>
    <mergeCell ref="AN152:AN154"/>
    <mergeCell ref="AO152:AO154"/>
    <mergeCell ref="AP158:AP160"/>
    <mergeCell ref="A161:A163"/>
    <mergeCell ref="B161:B163"/>
    <mergeCell ref="C161:C163"/>
    <mergeCell ref="AJ161:AJ163"/>
    <mergeCell ref="AK161:AK163"/>
    <mergeCell ref="AL161:AL163"/>
    <mergeCell ref="AM161:AM163"/>
    <mergeCell ref="AN161:AN163"/>
    <mergeCell ref="AO161:AO163"/>
    <mergeCell ref="AP161:AP163"/>
    <mergeCell ref="A158:A160"/>
    <mergeCell ref="B158:B160"/>
    <mergeCell ref="C158:C160"/>
    <mergeCell ref="AJ158:AJ160"/>
    <mergeCell ref="AK158:AK160"/>
    <mergeCell ref="AL158:AL160"/>
    <mergeCell ref="AM158:AM160"/>
    <mergeCell ref="AN158:AN160"/>
    <mergeCell ref="AO158:AO160"/>
    <mergeCell ref="AP164:AP166"/>
    <mergeCell ref="A167:A169"/>
    <mergeCell ref="B167:B169"/>
    <mergeCell ref="C167:C169"/>
    <mergeCell ref="AJ167:AJ169"/>
    <mergeCell ref="AK167:AK169"/>
    <mergeCell ref="AL167:AL169"/>
    <mergeCell ref="AM167:AM169"/>
    <mergeCell ref="AN167:AN169"/>
    <mergeCell ref="AO167:AO169"/>
    <mergeCell ref="AP167:AP169"/>
    <mergeCell ref="A164:A166"/>
    <mergeCell ref="B164:B166"/>
    <mergeCell ref="C164:C166"/>
    <mergeCell ref="AJ164:AJ166"/>
    <mergeCell ref="AK164:AK166"/>
    <mergeCell ref="AL164:AL166"/>
    <mergeCell ref="AM164:AM166"/>
    <mergeCell ref="AN164:AN166"/>
    <mergeCell ref="AO164:AO166"/>
    <mergeCell ref="AP170:AP172"/>
    <mergeCell ref="A173:A175"/>
    <mergeCell ref="B173:B175"/>
    <mergeCell ref="C173:C175"/>
    <mergeCell ref="AJ173:AJ175"/>
    <mergeCell ref="AK173:AK175"/>
    <mergeCell ref="AL173:AL175"/>
    <mergeCell ref="AM173:AM175"/>
    <mergeCell ref="AN173:AN175"/>
    <mergeCell ref="AO173:AO175"/>
    <mergeCell ref="AP173:AP175"/>
    <mergeCell ref="A170:A172"/>
    <mergeCell ref="B170:B172"/>
    <mergeCell ref="C170:C172"/>
    <mergeCell ref="AJ170:AJ172"/>
    <mergeCell ref="AK170:AK172"/>
    <mergeCell ref="AL170:AL172"/>
    <mergeCell ref="AM170:AM172"/>
    <mergeCell ref="AN170:AN172"/>
    <mergeCell ref="AO170:AO172"/>
    <mergeCell ref="AP176:AP178"/>
    <mergeCell ref="A179:A181"/>
    <mergeCell ref="B179:B181"/>
    <mergeCell ref="C179:C181"/>
    <mergeCell ref="AJ179:AJ181"/>
    <mergeCell ref="AK179:AK181"/>
    <mergeCell ref="AL179:AL181"/>
    <mergeCell ref="AM179:AM181"/>
    <mergeCell ref="AN179:AN181"/>
    <mergeCell ref="AO179:AO181"/>
    <mergeCell ref="AP179:AP181"/>
    <mergeCell ref="A176:A178"/>
    <mergeCell ref="B176:B178"/>
    <mergeCell ref="C176:C178"/>
    <mergeCell ref="AJ176:AJ178"/>
    <mergeCell ref="AK176:AK178"/>
    <mergeCell ref="AL176:AL178"/>
    <mergeCell ref="AM176:AM178"/>
    <mergeCell ref="AN176:AN178"/>
    <mergeCell ref="AO176:AO178"/>
    <mergeCell ref="AP182:AP184"/>
    <mergeCell ref="A185:A187"/>
    <mergeCell ref="B185:B187"/>
    <mergeCell ref="C185:C187"/>
    <mergeCell ref="AJ185:AJ187"/>
    <mergeCell ref="AK185:AK187"/>
    <mergeCell ref="AL185:AL187"/>
    <mergeCell ref="AM185:AM187"/>
    <mergeCell ref="AN185:AN187"/>
    <mergeCell ref="AO185:AO187"/>
    <mergeCell ref="AP185:AP187"/>
    <mergeCell ref="A182:A184"/>
    <mergeCell ref="B182:B184"/>
    <mergeCell ref="C182:C184"/>
    <mergeCell ref="AJ182:AJ184"/>
    <mergeCell ref="AK182:AK184"/>
    <mergeCell ref="AL182:AL184"/>
    <mergeCell ref="AM182:AM184"/>
    <mergeCell ref="AN182:AN184"/>
    <mergeCell ref="AO182:AO184"/>
    <mergeCell ref="AP188:AP190"/>
    <mergeCell ref="A191:A193"/>
    <mergeCell ref="B191:B193"/>
    <mergeCell ref="C191:C193"/>
    <mergeCell ref="AJ191:AJ193"/>
    <mergeCell ref="AK191:AK193"/>
    <mergeCell ref="AL191:AL193"/>
    <mergeCell ref="AM191:AM193"/>
    <mergeCell ref="AN191:AN193"/>
    <mergeCell ref="AO191:AO193"/>
    <mergeCell ref="AP191:AP193"/>
    <mergeCell ref="A188:A190"/>
    <mergeCell ref="B188:B190"/>
    <mergeCell ref="C188:C190"/>
    <mergeCell ref="AJ188:AJ190"/>
    <mergeCell ref="AK188:AK190"/>
    <mergeCell ref="AL188:AL190"/>
    <mergeCell ref="AM188:AM190"/>
    <mergeCell ref="AN188:AN190"/>
    <mergeCell ref="AO188:AO190"/>
    <mergeCell ref="AP194:AP196"/>
    <mergeCell ref="A197:A199"/>
    <mergeCell ref="B197:B199"/>
    <mergeCell ref="C197:C199"/>
    <mergeCell ref="AJ197:AJ199"/>
    <mergeCell ref="AK197:AK199"/>
    <mergeCell ref="AL197:AL199"/>
    <mergeCell ref="AM197:AM199"/>
    <mergeCell ref="AN197:AN199"/>
    <mergeCell ref="AO197:AO199"/>
    <mergeCell ref="AP197:AP199"/>
    <mergeCell ref="A194:A196"/>
    <mergeCell ref="B194:B196"/>
    <mergeCell ref="C194:C196"/>
    <mergeCell ref="AJ194:AJ196"/>
    <mergeCell ref="AK194:AK196"/>
    <mergeCell ref="AL194:AL196"/>
    <mergeCell ref="AM194:AM196"/>
    <mergeCell ref="AN194:AN196"/>
    <mergeCell ref="AO194:AO196"/>
    <mergeCell ref="AP200:AP202"/>
    <mergeCell ref="A203:A205"/>
    <mergeCell ref="B203:B205"/>
    <mergeCell ref="C203:C205"/>
    <mergeCell ref="AJ203:AJ205"/>
    <mergeCell ref="AK203:AK205"/>
    <mergeCell ref="AL203:AL205"/>
    <mergeCell ref="AM203:AM205"/>
    <mergeCell ref="AN203:AN205"/>
    <mergeCell ref="AO203:AO205"/>
    <mergeCell ref="AP203:AP205"/>
    <mergeCell ref="A200:A202"/>
    <mergeCell ref="B200:B202"/>
    <mergeCell ref="C200:C202"/>
    <mergeCell ref="AJ200:AJ202"/>
    <mergeCell ref="AK200:AK202"/>
    <mergeCell ref="AL200:AL202"/>
    <mergeCell ref="AM200:AM202"/>
    <mergeCell ref="AN200:AN202"/>
    <mergeCell ref="AO200:AO202"/>
    <mergeCell ref="AP206:AP208"/>
    <mergeCell ref="A209:A211"/>
    <mergeCell ref="B209:B211"/>
    <mergeCell ref="C209:C211"/>
    <mergeCell ref="AJ209:AJ211"/>
    <mergeCell ref="AK209:AK211"/>
    <mergeCell ref="AL209:AL211"/>
    <mergeCell ref="AM209:AM211"/>
    <mergeCell ref="AN209:AN211"/>
    <mergeCell ref="AO209:AO211"/>
    <mergeCell ref="AP209:AP211"/>
    <mergeCell ref="A206:A208"/>
    <mergeCell ref="B206:B208"/>
    <mergeCell ref="C206:C208"/>
    <mergeCell ref="AJ206:AJ208"/>
    <mergeCell ref="AK206:AK208"/>
    <mergeCell ref="AL206:AL208"/>
    <mergeCell ref="AM206:AM208"/>
    <mergeCell ref="AN206:AN208"/>
    <mergeCell ref="AO206:AO208"/>
    <mergeCell ref="AP212:AP214"/>
    <mergeCell ref="A215:A217"/>
    <mergeCell ref="B215:B217"/>
    <mergeCell ref="C215:C217"/>
    <mergeCell ref="AJ215:AJ217"/>
    <mergeCell ref="AK215:AK217"/>
    <mergeCell ref="AL215:AL217"/>
    <mergeCell ref="AM215:AM217"/>
    <mergeCell ref="AN215:AN217"/>
    <mergeCell ref="AO215:AO217"/>
    <mergeCell ref="AP215:AP217"/>
    <mergeCell ref="A212:A214"/>
    <mergeCell ref="B212:B214"/>
    <mergeCell ref="C212:C214"/>
    <mergeCell ref="AJ212:AJ214"/>
    <mergeCell ref="AK212:AK214"/>
    <mergeCell ref="AL212:AL214"/>
    <mergeCell ref="AM212:AM214"/>
    <mergeCell ref="AN212:AN214"/>
    <mergeCell ref="AO212:AO214"/>
    <mergeCell ref="AP218:AP220"/>
    <mergeCell ref="A221:A223"/>
    <mergeCell ref="B221:B223"/>
    <mergeCell ref="C221:C223"/>
    <mergeCell ref="AJ221:AJ223"/>
    <mergeCell ref="AK221:AK223"/>
    <mergeCell ref="AL221:AL223"/>
    <mergeCell ref="AM221:AM223"/>
    <mergeCell ref="AN221:AN223"/>
    <mergeCell ref="AO221:AO223"/>
    <mergeCell ref="AP221:AP223"/>
    <mergeCell ref="A218:A220"/>
    <mergeCell ref="B218:B220"/>
    <mergeCell ref="C218:C220"/>
    <mergeCell ref="AJ218:AJ220"/>
    <mergeCell ref="AK218:AK220"/>
    <mergeCell ref="AL218:AL220"/>
    <mergeCell ref="AM218:AM220"/>
    <mergeCell ref="AN218:AN220"/>
    <mergeCell ref="AO218:AO220"/>
    <mergeCell ref="AP224:AP226"/>
    <mergeCell ref="A227:A229"/>
    <mergeCell ref="B227:B229"/>
    <mergeCell ref="C227:C229"/>
    <mergeCell ref="AJ227:AJ229"/>
    <mergeCell ref="AK227:AK229"/>
    <mergeCell ref="AL227:AL229"/>
    <mergeCell ref="AM227:AM229"/>
    <mergeCell ref="AN227:AN229"/>
    <mergeCell ref="AO227:AO229"/>
    <mergeCell ref="AP227:AP229"/>
    <mergeCell ref="A224:A226"/>
    <mergeCell ref="B224:B226"/>
    <mergeCell ref="C224:C226"/>
    <mergeCell ref="AJ224:AJ226"/>
    <mergeCell ref="AK224:AK226"/>
    <mergeCell ref="AL224:AL226"/>
    <mergeCell ref="AM224:AM226"/>
    <mergeCell ref="AN224:AN226"/>
    <mergeCell ref="AO224:AO226"/>
    <mergeCell ref="AP230:AP232"/>
    <mergeCell ref="A233:A235"/>
    <mergeCell ref="B233:B235"/>
    <mergeCell ref="C233:C235"/>
    <mergeCell ref="AJ233:AJ235"/>
    <mergeCell ref="AK233:AK235"/>
    <mergeCell ref="AL233:AL235"/>
    <mergeCell ref="AM233:AM235"/>
    <mergeCell ref="AN233:AN235"/>
    <mergeCell ref="AO233:AO235"/>
    <mergeCell ref="AP233:AP235"/>
    <mergeCell ref="A230:A232"/>
    <mergeCell ref="B230:B232"/>
    <mergeCell ref="C230:C232"/>
    <mergeCell ref="AJ230:AJ232"/>
    <mergeCell ref="AK230:AK232"/>
    <mergeCell ref="AL230:AL232"/>
    <mergeCell ref="AM230:AM232"/>
    <mergeCell ref="AN230:AN232"/>
    <mergeCell ref="AO230:AO232"/>
    <mergeCell ref="A236:A238"/>
    <mergeCell ref="B236:B238"/>
    <mergeCell ref="C236:C238"/>
    <mergeCell ref="AJ236:AJ238"/>
    <mergeCell ref="AK236:AK238"/>
    <mergeCell ref="AL236:AL238"/>
    <mergeCell ref="AM236:AM238"/>
    <mergeCell ref="AN236:AN238"/>
    <mergeCell ref="AO236:AO238"/>
    <mergeCell ref="M239:M240"/>
    <mergeCell ref="N239:N240"/>
    <mergeCell ref="O239:O240"/>
    <mergeCell ref="P239:P240"/>
    <mergeCell ref="Q239:Q240"/>
    <mergeCell ref="R239:R240"/>
    <mergeCell ref="AP236:AP238"/>
    <mergeCell ref="A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Y239:Y240"/>
    <mergeCell ref="Z239:Z240"/>
    <mergeCell ref="AA239:AA240"/>
    <mergeCell ref="AB239:AB240"/>
    <mergeCell ref="AC239:AC240"/>
    <mergeCell ref="AD239:AD240"/>
    <mergeCell ref="S239:S240"/>
    <mergeCell ref="T239:T240"/>
    <mergeCell ref="AP239:AP240"/>
    <mergeCell ref="AE239:AE240"/>
    <mergeCell ref="AF239:AF240"/>
    <mergeCell ref="AG239:AG240"/>
    <mergeCell ref="AH239:AH240"/>
    <mergeCell ref="AI239:AI240"/>
    <mergeCell ref="AJ239:AJ240"/>
    <mergeCell ref="U239:U240"/>
    <mergeCell ref="V239:V240"/>
    <mergeCell ref="W239:W240"/>
    <mergeCell ref="X239:X240"/>
    <mergeCell ref="AK239:AK240"/>
    <mergeCell ref="AL239:AL240"/>
    <mergeCell ref="AM239:AM240"/>
    <mergeCell ref="AN239:AN240"/>
    <mergeCell ref="AO239:AO2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353F-D10F-4961-BDC6-5ADDB84F7205}">
  <dimension ref="A1:AJ125"/>
  <sheetViews>
    <sheetView workbookViewId="0">
      <pane xSplit="3" ySplit="4" topLeftCell="D13" activePane="bottomRight" state="frozen"/>
      <selection pane="topRight" activeCell="D1" sqref="D1"/>
      <selection pane="bottomLeft" activeCell="A5" sqref="A5"/>
      <selection pane="bottomRight" activeCell="T96" sqref="T96"/>
    </sheetView>
  </sheetViews>
  <sheetFormatPr baseColWidth="10" defaultColWidth="9.1640625" defaultRowHeight="15"/>
  <cols>
    <col min="1" max="1" width="6.83203125" style="35" customWidth="1"/>
    <col min="2" max="2" width="16.5" style="35" customWidth="1"/>
    <col min="3" max="3" width="8.33203125" style="35" customWidth="1"/>
    <col min="4" max="4" width="6.6640625" style="35" customWidth="1"/>
    <col min="5" max="35" width="4.1640625" style="35" customWidth="1"/>
    <col min="36" max="36" width="8.83203125" style="35" customWidth="1"/>
    <col min="37" max="16384" width="9.1640625" style="28"/>
  </cols>
  <sheetData>
    <row r="1" spans="1:36" ht="21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24"/>
      <c r="W1" s="24"/>
      <c r="X1" s="24"/>
      <c r="Y1" s="25" t="s">
        <v>1</v>
      </c>
      <c r="Z1" s="26"/>
      <c r="AA1" s="26"/>
      <c r="AB1" s="26"/>
      <c r="AC1" s="25" t="s">
        <v>2</v>
      </c>
      <c r="AD1" s="26"/>
      <c r="AE1" s="24"/>
      <c r="AF1" s="27"/>
      <c r="AG1" s="27"/>
      <c r="AH1" s="27"/>
      <c r="AI1" s="27"/>
      <c r="AJ1" s="27"/>
    </row>
    <row r="2" spans="1:36" ht="21">
      <c r="A2" s="94" t="s">
        <v>115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29"/>
      <c r="W2" s="24"/>
      <c r="X2" s="24"/>
      <c r="Y2" s="25" t="s">
        <v>4</v>
      </c>
      <c r="Z2" s="26"/>
      <c r="AA2" s="26"/>
      <c r="AB2" s="26"/>
      <c r="AC2" s="25" t="s">
        <v>116</v>
      </c>
      <c r="AD2" s="26"/>
      <c r="AE2" s="24"/>
      <c r="AF2" s="27"/>
      <c r="AG2" s="27"/>
      <c r="AH2" s="27"/>
      <c r="AI2" s="27"/>
      <c r="AJ2" s="27"/>
    </row>
    <row r="3" spans="1:36">
      <c r="A3" s="77" t="s">
        <v>5</v>
      </c>
      <c r="B3" s="77" t="s">
        <v>6</v>
      </c>
      <c r="C3" s="91" t="s">
        <v>7</v>
      </c>
      <c r="D3" s="91" t="s">
        <v>8</v>
      </c>
      <c r="E3" s="96" t="s">
        <v>9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1" t="s">
        <v>10</v>
      </c>
    </row>
    <row r="4" spans="1:36">
      <c r="A4" s="78"/>
      <c r="B4" s="78"/>
      <c r="C4" s="92"/>
      <c r="D4" s="92"/>
      <c r="E4" s="30">
        <v>1</v>
      </c>
      <c r="F4" s="30">
        <v>2</v>
      </c>
      <c r="G4" s="30">
        <v>3</v>
      </c>
      <c r="H4" s="30">
        <v>4</v>
      </c>
      <c r="I4" s="30">
        <v>5</v>
      </c>
      <c r="J4" s="30">
        <v>6</v>
      </c>
      <c r="K4" s="30">
        <v>7</v>
      </c>
      <c r="L4" s="30">
        <v>8</v>
      </c>
      <c r="M4" s="30">
        <v>9</v>
      </c>
      <c r="N4" s="30">
        <v>10</v>
      </c>
      <c r="O4" s="30">
        <v>11</v>
      </c>
      <c r="P4" s="30">
        <v>12</v>
      </c>
      <c r="Q4" s="30">
        <v>13</v>
      </c>
      <c r="R4" s="30">
        <v>14</v>
      </c>
      <c r="S4" s="30">
        <v>15</v>
      </c>
      <c r="T4" s="30">
        <v>16</v>
      </c>
      <c r="U4" s="30">
        <v>17</v>
      </c>
      <c r="V4" s="30">
        <v>18</v>
      </c>
      <c r="W4" s="30">
        <v>19</v>
      </c>
      <c r="X4" s="30">
        <v>20</v>
      </c>
      <c r="Y4" s="30">
        <v>21</v>
      </c>
      <c r="Z4" s="30">
        <v>22</v>
      </c>
      <c r="AA4" s="30">
        <v>23</v>
      </c>
      <c r="AB4" s="30">
        <v>24</v>
      </c>
      <c r="AC4" s="30">
        <v>25</v>
      </c>
      <c r="AD4" s="30">
        <v>26</v>
      </c>
      <c r="AE4" s="30">
        <v>27</v>
      </c>
      <c r="AF4" s="30">
        <v>28</v>
      </c>
      <c r="AG4" s="30">
        <v>29</v>
      </c>
      <c r="AH4" s="30">
        <v>30</v>
      </c>
      <c r="AI4" s="30">
        <v>31</v>
      </c>
      <c r="AJ4" s="92"/>
    </row>
    <row r="5" spans="1:36">
      <c r="A5" s="89">
        <v>1</v>
      </c>
      <c r="B5" s="89" t="s">
        <v>70</v>
      </c>
      <c r="C5" s="89" t="s">
        <v>117</v>
      </c>
      <c r="D5" s="32" t="s">
        <v>18</v>
      </c>
      <c r="E5" s="33" t="s">
        <v>19</v>
      </c>
      <c r="F5" s="33" t="s">
        <v>19</v>
      </c>
      <c r="G5" s="33"/>
      <c r="H5" s="33" t="s">
        <v>19</v>
      </c>
      <c r="I5" s="33" t="s">
        <v>19</v>
      </c>
      <c r="J5" s="33"/>
      <c r="K5" s="33" t="s">
        <v>19</v>
      </c>
      <c r="L5" s="33" t="s">
        <v>19</v>
      </c>
      <c r="M5" s="33"/>
      <c r="N5" s="33"/>
      <c r="O5" s="33" t="s">
        <v>19</v>
      </c>
      <c r="P5" s="33" t="s">
        <v>19</v>
      </c>
      <c r="Q5" s="33" t="s">
        <v>19</v>
      </c>
      <c r="R5" s="33"/>
      <c r="S5" s="33"/>
      <c r="T5" s="33" t="s">
        <v>19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81">
        <f>COUNTIFS(E5:AI6,"✓")/2</f>
        <v>10</v>
      </c>
    </row>
    <row r="6" spans="1:36">
      <c r="A6" s="90"/>
      <c r="B6" s="90"/>
      <c r="C6" s="90"/>
      <c r="D6" s="32" t="s">
        <v>20</v>
      </c>
      <c r="E6" s="33" t="s">
        <v>19</v>
      </c>
      <c r="F6" s="33" t="s">
        <v>19</v>
      </c>
      <c r="G6" s="33"/>
      <c r="H6" s="33" t="s">
        <v>19</v>
      </c>
      <c r="I6" s="33" t="s">
        <v>19</v>
      </c>
      <c r="J6" s="33"/>
      <c r="K6" s="33" t="s">
        <v>19</v>
      </c>
      <c r="L6" s="33" t="s">
        <v>19</v>
      </c>
      <c r="M6" s="33"/>
      <c r="N6" s="33"/>
      <c r="O6" s="33" t="s">
        <v>19</v>
      </c>
      <c r="P6" s="33" t="s">
        <v>19</v>
      </c>
      <c r="Q6" s="33" t="s">
        <v>19</v>
      </c>
      <c r="R6" s="33"/>
      <c r="S6" s="33"/>
      <c r="T6" s="33" t="s">
        <v>19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82"/>
    </row>
    <row r="7" spans="1:36">
      <c r="A7" s="89">
        <v>2</v>
      </c>
      <c r="B7" s="89" t="s">
        <v>118</v>
      </c>
      <c r="C7" s="89" t="s">
        <v>117</v>
      </c>
      <c r="D7" s="32" t="s">
        <v>18</v>
      </c>
      <c r="E7" s="33" t="s">
        <v>19</v>
      </c>
      <c r="F7" s="33"/>
      <c r="G7" s="33" t="s">
        <v>19</v>
      </c>
      <c r="H7" s="33" t="s">
        <v>19</v>
      </c>
      <c r="I7" s="33" t="s">
        <v>19</v>
      </c>
      <c r="J7" s="33"/>
      <c r="K7" s="33" t="s">
        <v>19</v>
      </c>
      <c r="L7" s="33" t="s">
        <v>19</v>
      </c>
      <c r="M7" s="32"/>
      <c r="N7" s="32"/>
      <c r="O7" s="33"/>
      <c r="P7" s="33"/>
      <c r="Q7" s="33"/>
      <c r="R7" s="33"/>
      <c r="S7" s="33"/>
      <c r="T7" s="32"/>
      <c r="U7" s="33"/>
      <c r="V7" s="32"/>
      <c r="W7" s="32"/>
      <c r="X7" s="32"/>
      <c r="Y7" s="32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81">
        <f>COUNTIFS(E7:AI8,"✓")/2</f>
        <v>6</v>
      </c>
    </row>
    <row r="8" spans="1:36">
      <c r="A8" s="90"/>
      <c r="B8" s="90"/>
      <c r="C8" s="90"/>
      <c r="D8" s="32" t="s">
        <v>20</v>
      </c>
      <c r="E8" s="33" t="s">
        <v>19</v>
      </c>
      <c r="F8" s="33"/>
      <c r="G8" s="33" t="s">
        <v>19</v>
      </c>
      <c r="H8" s="33" t="s">
        <v>19</v>
      </c>
      <c r="I8" s="33" t="s">
        <v>19</v>
      </c>
      <c r="J8" s="33"/>
      <c r="K8" s="33" t="s">
        <v>19</v>
      </c>
      <c r="L8" s="33" t="s">
        <v>19</v>
      </c>
      <c r="M8" s="32"/>
      <c r="N8" s="32"/>
      <c r="O8" s="33"/>
      <c r="P8" s="33"/>
      <c r="Q8" s="33"/>
      <c r="R8" s="33"/>
      <c r="S8" s="33"/>
      <c r="T8" s="32"/>
      <c r="U8" s="33"/>
      <c r="V8" s="32"/>
      <c r="W8" s="32"/>
      <c r="X8" s="32"/>
      <c r="Y8" s="32"/>
      <c r="Z8" s="33"/>
      <c r="AA8" s="33"/>
      <c r="AB8" s="33"/>
      <c r="AC8" s="33"/>
      <c r="AD8" s="33"/>
      <c r="AE8" s="32"/>
      <c r="AF8" s="33"/>
      <c r="AG8" s="33"/>
      <c r="AH8" s="33"/>
      <c r="AI8" s="33"/>
      <c r="AJ8" s="82"/>
    </row>
    <row r="9" spans="1:36">
      <c r="A9" s="89">
        <v>3</v>
      </c>
      <c r="B9" s="89" t="s">
        <v>119</v>
      </c>
      <c r="C9" s="89" t="s">
        <v>117</v>
      </c>
      <c r="D9" s="32" t="s">
        <v>18</v>
      </c>
      <c r="E9" s="33" t="s">
        <v>19</v>
      </c>
      <c r="F9" s="33" t="s">
        <v>19</v>
      </c>
      <c r="G9" s="33"/>
      <c r="H9" s="33" t="s">
        <v>19</v>
      </c>
      <c r="I9" s="33" t="s">
        <v>19</v>
      </c>
      <c r="J9" s="33"/>
      <c r="K9" s="33" t="s">
        <v>19</v>
      </c>
      <c r="L9" s="33"/>
      <c r="M9" s="33"/>
      <c r="N9" s="32"/>
      <c r="O9" s="33" t="s">
        <v>19</v>
      </c>
      <c r="P9" s="3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2"/>
      <c r="AH9" s="32"/>
      <c r="AI9" s="32"/>
      <c r="AJ9" s="81">
        <f>COUNTIFS(E9:AI10,"✓")/2</f>
        <v>6</v>
      </c>
    </row>
    <row r="10" spans="1:36">
      <c r="A10" s="90"/>
      <c r="B10" s="90"/>
      <c r="C10" s="90"/>
      <c r="D10" s="32" t="s">
        <v>20</v>
      </c>
      <c r="E10" s="33" t="s">
        <v>19</v>
      </c>
      <c r="F10" s="33" t="s">
        <v>19</v>
      </c>
      <c r="G10" s="33"/>
      <c r="H10" s="33" t="s">
        <v>19</v>
      </c>
      <c r="I10" s="33" t="s">
        <v>19</v>
      </c>
      <c r="J10" s="33"/>
      <c r="K10" s="33" t="s">
        <v>19</v>
      </c>
      <c r="L10" s="33"/>
      <c r="M10" s="33"/>
      <c r="N10" s="32"/>
      <c r="O10" s="33" t="s">
        <v>19</v>
      </c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2"/>
      <c r="AH10" s="32"/>
      <c r="AI10" s="32"/>
      <c r="AJ10" s="82"/>
    </row>
    <row r="11" spans="1:36">
      <c r="A11" s="89">
        <v>4</v>
      </c>
      <c r="B11" s="89" t="s">
        <v>71</v>
      </c>
      <c r="C11" s="89" t="s">
        <v>117</v>
      </c>
      <c r="D11" s="32" t="s">
        <v>18</v>
      </c>
      <c r="E11" s="33" t="s">
        <v>19</v>
      </c>
      <c r="F11" s="33" t="s">
        <v>19</v>
      </c>
      <c r="G11" s="33" t="s">
        <v>19</v>
      </c>
      <c r="H11" s="33" t="s">
        <v>19</v>
      </c>
      <c r="I11" s="33" t="s">
        <v>19</v>
      </c>
      <c r="J11" s="33" t="s">
        <v>19</v>
      </c>
      <c r="K11" s="33" t="s">
        <v>19</v>
      </c>
      <c r="L11" s="33"/>
      <c r="M11" s="33" t="s">
        <v>19</v>
      </c>
      <c r="N11" s="33" t="s">
        <v>19</v>
      </c>
      <c r="O11" s="33" t="s">
        <v>19</v>
      </c>
      <c r="P11" s="33" t="s">
        <v>19</v>
      </c>
      <c r="Q11" s="33" t="s">
        <v>19</v>
      </c>
      <c r="R11" s="33" t="s">
        <v>19</v>
      </c>
      <c r="S11" s="33"/>
      <c r="T11" s="33" t="s">
        <v>19</v>
      </c>
      <c r="U11" s="32"/>
      <c r="V11" s="32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81">
        <f>COUNTIFS(E11:AI12,"✓")/2</f>
        <v>14</v>
      </c>
    </row>
    <row r="12" spans="1:36">
      <c r="A12" s="90"/>
      <c r="B12" s="90"/>
      <c r="C12" s="90"/>
      <c r="D12" s="32" t="s">
        <v>20</v>
      </c>
      <c r="E12" s="33" t="s">
        <v>19</v>
      </c>
      <c r="F12" s="33" t="s">
        <v>19</v>
      </c>
      <c r="G12" s="33" t="s">
        <v>19</v>
      </c>
      <c r="H12" s="33" t="s">
        <v>19</v>
      </c>
      <c r="I12" s="33" t="s">
        <v>19</v>
      </c>
      <c r="J12" s="33" t="s">
        <v>19</v>
      </c>
      <c r="K12" s="33" t="s">
        <v>19</v>
      </c>
      <c r="L12" s="33"/>
      <c r="M12" s="33" t="s">
        <v>19</v>
      </c>
      <c r="N12" s="33" t="s">
        <v>19</v>
      </c>
      <c r="O12" s="33" t="s">
        <v>19</v>
      </c>
      <c r="P12" s="33" t="s">
        <v>19</v>
      </c>
      <c r="Q12" s="33" t="s">
        <v>19</v>
      </c>
      <c r="R12" s="33" t="s">
        <v>19</v>
      </c>
      <c r="S12" s="33"/>
      <c r="T12" s="33" t="s">
        <v>19</v>
      </c>
      <c r="U12" s="32"/>
      <c r="V12" s="32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82"/>
    </row>
    <row r="13" spans="1:36">
      <c r="A13" s="89">
        <v>5</v>
      </c>
      <c r="B13" s="89" t="s">
        <v>77</v>
      </c>
      <c r="C13" s="89" t="s">
        <v>117</v>
      </c>
      <c r="D13" s="32" t="s">
        <v>18</v>
      </c>
      <c r="E13" s="33" t="s">
        <v>19</v>
      </c>
      <c r="F13" s="33" t="s">
        <v>19</v>
      </c>
      <c r="G13" s="33" t="s">
        <v>19</v>
      </c>
      <c r="H13" s="33" t="s">
        <v>19</v>
      </c>
      <c r="I13" s="33" t="s">
        <v>19</v>
      </c>
      <c r="J13" s="33"/>
      <c r="K13" s="32"/>
      <c r="L13" s="33"/>
      <c r="M13" s="33"/>
      <c r="N13" s="33"/>
      <c r="O13" s="33"/>
      <c r="P13" s="33"/>
      <c r="Q13" s="32"/>
      <c r="R13" s="33"/>
      <c r="S13" s="33"/>
      <c r="T13" s="33" t="s">
        <v>19</v>
      </c>
      <c r="U13" s="33"/>
      <c r="V13" s="33"/>
      <c r="W13" s="33"/>
      <c r="X13" s="33"/>
      <c r="Y13" s="33"/>
      <c r="Z13" s="33"/>
      <c r="AA13" s="33"/>
      <c r="AB13" s="33"/>
      <c r="AC13" s="33"/>
      <c r="AD13" s="32"/>
      <c r="AE13" s="32"/>
      <c r="AF13" s="33"/>
      <c r="AG13" s="32"/>
      <c r="AH13" s="32"/>
      <c r="AI13" s="33"/>
      <c r="AJ13" s="81">
        <f>COUNTIFS(E13:AI14,"✓")/2</f>
        <v>6</v>
      </c>
    </row>
    <row r="14" spans="1:36">
      <c r="A14" s="90"/>
      <c r="B14" s="90"/>
      <c r="C14" s="90"/>
      <c r="D14" s="32" t="s">
        <v>20</v>
      </c>
      <c r="E14" s="33" t="s">
        <v>19</v>
      </c>
      <c r="F14" s="33" t="s">
        <v>19</v>
      </c>
      <c r="G14" s="33" t="s">
        <v>19</v>
      </c>
      <c r="H14" s="33" t="s">
        <v>19</v>
      </c>
      <c r="I14" s="33" t="s">
        <v>19</v>
      </c>
      <c r="J14" s="33"/>
      <c r="K14" s="32"/>
      <c r="L14" s="33"/>
      <c r="M14" s="33"/>
      <c r="N14" s="33"/>
      <c r="O14" s="33"/>
      <c r="P14" s="33"/>
      <c r="Q14" s="32"/>
      <c r="R14" s="33"/>
      <c r="S14" s="33"/>
      <c r="T14" s="33" t="s">
        <v>19</v>
      </c>
      <c r="U14" s="33"/>
      <c r="V14" s="33"/>
      <c r="W14" s="33"/>
      <c r="X14" s="33"/>
      <c r="Y14" s="33"/>
      <c r="Z14" s="33"/>
      <c r="AA14" s="33"/>
      <c r="AB14" s="33"/>
      <c r="AC14" s="33"/>
      <c r="AD14" s="32"/>
      <c r="AE14" s="32"/>
      <c r="AF14" s="33"/>
      <c r="AG14" s="32"/>
      <c r="AH14" s="32"/>
      <c r="AI14" s="33"/>
      <c r="AJ14" s="82"/>
    </row>
    <row r="15" spans="1:36">
      <c r="A15" s="89">
        <v>6</v>
      </c>
      <c r="B15" s="89" t="s">
        <v>73</v>
      </c>
      <c r="C15" s="89" t="s">
        <v>117</v>
      </c>
      <c r="D15" s="32" t="s">
        <v>18</v>
      </c>
      <c r="E15" s="33" t="s">
        <v>19</v>
      </c>
      <c r="F15" s="33"/>
      <c r="G15" s="33" t="s">
        <v>19</v>
      </c>
      <c r="H15" s="33" t="s">
        <v>19</v>
      </c>
      <c r="I15" s="33" t="s">
        <v>19</v>
      </c>
      <c r="J15" s="33" t="s">
        <v>19</v>
      </c>
      <c r="K15" s="33"/>
      <c r="L15" s="33" t="s">
        <v>19</v>
      </c>
      <c r="M15" s="33" t="s">
        <v>19</v>
      </c>
      <c r="N15" s="33" t="s">
        <v>19</v>
      </c>
      <c r="O15" s="33" t="s">
        <v>19</v>
      </c>
      <c r="P15" s="33"/>
      <c r="Q15" s="33" t="s">
        <v>19</v>
      </c>
      <c r="R15" s="33" t="s">
        <v>19</v>
      </c>
      <c r="S15" s="33" t="s">
        <v>19</v>
      </c>
      <c r="T15" s="33" t="s">
        <v>19</v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81">
        <f>COUNTIFS(E15:AI16,"✓")/2</f>
        <v>13</v>
      </c>
    </row>
    <row r="16" spans="1:36">
      <c r="A16" s="90"/>
      <c r="B16" s="90"/>
      <c r="C16" s="90"/>
      <c r="D16" s="32" t="s">
        <v>20</v>
      </c>
      <c r="E16" s="33" t="s">
        <v>19</v>
      </c>
      <c r="F16" s="33"/>
      <c r="G16" s="33" t="s">
        <v>19</v>
      </c>
      <c r="H16" s="33" t="s">
        <v>19</v>
      </c>
      <c r="I16" s="33" t="s">
        <v>19</v>
      </c>
      <c r="J16" s="33" t="s">
        <v>19</v>
      </c>
      <c r="K16" s="33"/>
      <c r="L16" s="33" t="s">
        <v>19</v>
      </c>
      <c r="M16" s="33" t="s">
        <v>19</v>
      </c>
      <c r="N16" s="33" t="s">
        <v>19</v>
      </c>
      <c r="O16" s="33" t="s">
        <v>19</v>
      </c>
      <c r="P16" s="33"/>
      <c r="Q16" s="33" t="s">
        <v>19</v>
      </c>
      <c r="R16" s="33" t="s">
        <v>19</v>
      </c>
      <c r="S16" s="33" t="s">
        <v>19</v>
      </c>
      <c r="T16" s="33" t="s">
        <v>19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82"/>
    </row>
    <row r="17" spans="1:36">
      <c r="A17" s="89">
        <v>7</v>
      </c>
      <c r="B17" s="89" t="s">
        <v>120</v>
      </c>
      <c r="C17" s="89" t="s">
        <v>117</v>
      </c>
      <c r="D17" s="32" t="s">
        <v>18</v>
      </c>
      <c r="E17" s="33" t="s">
        <v>19</v>
      </c>
      <c r="F17" s="33" t="s">
        <v>19</v>
      </c>
      <c r="G17" s="33" t="s">
        <v>19</v>
      </c>
      <c r="H17" s="33" t="s">
        <v>19</v>
      </c>
      <c r="I17" s="33"/>
      <c r="J17" s="33" t="s">
        <v>19</v>
      </c>
      <c r="K17" s="33"/>
      <c r="L17" s="33" t="s">
        <v>19</v>
      </c>
      <c r="M17" s="33" t="s">
        <v>19</v>
      </c>
      <c r="N17" s="33"/>
      <c r="O17" s="33" t="s">
        <v>19</v>
      </c>
      <c r="P17" s="33" t="s">
        <v>19</v>
      </c>
      <c r="Q17" s="33" t="s">
        <v>19</v>
      </c>
      <c r="R17" s="33" t="s">
        <v>19</v>
      </c>
      <c r="S17" s="33" t="s">
        <v>19</v>
      </c>
      <c r="T17" s="33"/>
      <c r="U17" s="33"/>
      <c r="V17" s="33"/>
      <c r="W17" s="33"/>
      <c r="X17" s="33"/>
      <c r="Y17" s="33"/>
      <c r="Z17" s="32"/>
      <c r="AA17" s="33"/>
      <c r="AB17" s="32"/>
      <c r="AC17" s="33"/>
      <c r="AD17" s="33"/>
      <c r="AE17" s="33"/>
      <c r="AF17" s="33"/>
      <c r="AG17" s="33"/>
      <c r="AH17" s="33"/>
      <c r="AI17" s="32"/>
      <c r="AJ17" s="81">
        <f>COUNTIFS(E17:AI18,"✓")/2</f>
        <v>12</v>
      </c>
    </row>
    <row r="18" spans="1:36">
      <c r="A18" s="90"/>
      <c r="B18" s="90"/>
      <c r="C18" s="90"/>
      <c r="D18" s="32" t="s">
        <v>20</v>
      </c>
      <c r="E18" s="33" t="s">
        <v>19</v>
      </c>
      <c r="F18" s="33" t="s">
        <v>19</v>
      </c>
      <c r="G18" s="33" t="s">
        <v>19</v>
      </c>
      <c r="H18" s="33" t="s">
        <v>19</v>
      </c>
      <c r="I18" s="33"/>
      <c r="J18" s="33" t="s">
        <v>19</v>
      </c>
      <c r="K18" s="33"/>
      <c r="L18" s="33" t="s">
        <v>19</v>
      </c>
      <c r="M18" s="33" t="s">
        <v>19</v>
      </c>
      <c r="N18" s="33"/>
      <c r="O18" s="33" t="s">
        <v>19</v>
      </c>
      <c r="P18" s="33" t="s">
        <v>19</v>
      </c>
      <c r="Q18" s="33" t="s">
        <v>19</v>
      </c>
      <c r="R18" s="33" t="s">
        <v>19</v>
      </c>
      <c r="S18" s="33" t="s">
        <v>19</v>
      </c>
      <c r="T18" s="33"/>
      <c r="U18" s="33"/>
      <c r="V18" s="33"/>
      <c r="W18" s="33"/>
      <c r="X18" s="33"/>
      <c r="Y18" s="33"/>
      <c r="Z18" s="33"/>
      <c r="AA18" s="33"/>
      <c r="AB18" s="32"/>
      <c r="AC18" s="33"/>
      <c r="AD18" s="33"/>
      <c r="AE18" s="33"/>
      <c r="AF18" s="32"/>
      <c r="AG18" s="33"/>
      <c r="AH18" s="33"/>
      <c r="AI18" s="32"/>
      <c r="AJ18" s="82"/>
    </row>
    <row r="19" spans="1:36">
      <c r="A19" s="89">
        <v>8</v>
      </c>
      <c r="B19" s="89" t="s">
        <v>72</v>
      </c>
      <c r="C19" s="89" t="s">
        <v>117</v>
      </c>
      <c r="D19" s="32" t="s">
        <v>18</v>
      </c>
      <c r="E19" s="33" t="s">
        <v>19</v>
      </c>
      <c r="F19" s="33" t="s">
        <v>19</v>
      </c>
      <c r="G19" s="33" t="s">
        <v>19</v>
      </c>
      <c r="H19" s="33" t="s">
        <v>19</v>
      </c>
      <c r="I19" s="33" t="s">
        <v>19</v>
      </c>
      <c r="J19" s="33" t="s">
        <v>19</v>
      </c>
      <c r="K19" s="33" t="s">
        <v>19</v>
      </c>
      <c r="L19" s="33" t="s">
        <v>19</v>
      </c>
      <c r="M19" s="33" t="s">
        <v>19</v>
      </c>
      <c r="N19" s="33" t="s">
        <v>19</v>
      </c>
      <c r="O19" s="33" t="s">
        <v>19</v>
      </c>
      <c r="P19" s="33" t="s">
        <v>19</v>
      </c>
      <c r="Q19" s="33" t="s">
        <v>19</v>
      </c>
      <c r="R19" s="33" t="s">
        <v>19</v>
      </c>
      <c r="S19" s="33" t="s">
        <v>19</v>
      </c>
      <c r="T19" s="33" t="s">
        <v>19</v>
      </c>
      <c r="U19" s="33"/>
      <c r="V19" s="33"/>
      <c r="W19" s="32"/>
      <c r="X19" s="33"/>
      <c r="Y19" s="32"/>
      <c r="Z19" s="32"/>
      <c r="AA19" s="32"/>
      <c r="AB19" s="33"/>
      <c r="AC19" s="33"/>
      <c r="AD19" s="33"/>
      <c r="AE19" s="33"/>
      <c r="AF19" s="33"/>
      <c r="AG19" s="33"/>
      <c r="AH19" s="32"/>
      <c r="AI19" s="32"/>
      <c r="AJ19" s="81">
        <f>COUNTIFS(E19:AI20,"✓")/2</f>
        <v>16</v>
      </c>
    </row>
    <row r="20" spans="1:36">
      <c r="A20" s="90"/>
      <c r="B20" s="90"/>
      <c r="C20" s="90"/>
      <c r="D20" s="32" t="s">
        <v>20</v>
      </c>
      <c r="E20" s="33" t="s">
        <v>19</v>
      </c>
      <c r="F20" s="33" t="s">
        <v>19</v>
      </c>
      <c r="G20" s="33" t="s">
        <v>19</v>
      </c>
      <c r="H20" s="33" t="s">
        <v>19</v>
      </c>
      <c r="I20" s="33" t="s">
        <v>19</v>
      </c>
      <c r="J20" s="33" t="s">
        <v>19</v>
      </c>
      <c r="K20" s="33" t="s">
        <v>19</v>
      </c>
      <c r="L20" s="33" t="s">
        <v>19</v>
      </c>
      <c r="M20" s="33" t="s">
        <v>19</v>
      </c>
      <c r="N20" s="33" t="s">
        <v>19</v>
      </c>
      <c r="O20" s="33" t="s">
        <v>19</v>
      </c>
      <c r="P20" s="33" t="s">
        <v>19</v>
      </c>
      <c r="Q20" s="33" t="s">
        <v>19</v>
      </c>
      <c r="R20" s="33" t="s">
        <v>19</v>
      </c>
      <c r="S20" s="33" t="s">
        <v>19</v>
      </c>
      <c r="T20" s="33" t="s">
        <v>19</v>
      </c>
      <c r="U20" s="33"/>
      <c r="V20" s="33"/>
      <c r="W20" s="32"/>
      <c r="X20" s="33"/>
      <c r="Y20" s="32"/>
      <c r="Z20" s="32"/>
      <c r="AA20" s="32"/>
      <c r="AB20" s="33"/>
      <c r="AC20" s="33"/>
      <c r="AD20" s="33"/>
      <c r="AE20" s="33"/>
      <c r="AF20" s="32"/>
      <c r="AG20" s="32"/>
      <c r="AH20" s="32"/>
      <c r="AI20" s="32"/>
      <c r="AJ20" s="82"/>
    </row>
    <row r="21" spans="1:36">
      <c r="A21" s="89">
        <v>9</v>
      </c>
      <c r="B21" s="89" t="s">
        <v>121</v>
      </c>
      <c r="C21" s="89" t="s">
        <v>24</v>
      </c>
      <c r="D21" s="32" t="s">
        <v>18</v>
      </c>
      <c r="E21" s="33" t="s">
        <v>19</v>
      </c>
      <c r="F21" s="33"/>
      <c r="G21" s="33" t="s">
        <v>19</v>
      </c>
      <c r="H21" s="32"/>
      <c r="I21" s="33"/>
      <c r="J21" s="33"/>
      <c r="K21" s="33"/>
      <c r="L21" s="32"/>
      <c r="M21" s="33"/>
      <c r="N21" s="32"/>
      <c r="O21" s="33"/>
      <c r="P21" s="33"/>
      <c r="Q21" s="32"/>
      <c r="R21" s="33"/>
      <c r="S21" s="33"/>
      <c r="T21" s="33"/>
      <c r="U21" s="32"/>
      <c r="V21" s="33"/>
      <c r="W21" s="33"/>
      <c r="X21" s="33"/>
      <c r="Y21" s="33"/>
      <c r="Z21" s="33"/>
      <c r="AA21" s="33"/>
      <c r="AB21" s="33"/>
      <c r="AC21" s="33"/>
      <c r="AD21" s="32"/>
      <c r="AE21" s="32"/>
      <c r="AF21" s="32"/>
      <c r="AG21" s="32"/>
      <c r="AH21" s="32"/>
      <c r="AI21" s="32"/>
      <c r="AJ21" s="81">
        <f>COUNTIFS(E21:AI22,"✓")/2</f>
        <v>1.5</v>
      </c>
    </row>
    <row r="22" spans="1:36">
      <c r="A22" s="90"/>
      <c r="B22" s="90"/>
      <c r="C22" s="90"/>
      <c r="D22" s="32" t="s">
        <v>20</v>
      </c>
      <c r="E22" s="33" t="s">
        <v>19</v>
      </c>
      <c r="F22" s="33"/>
      <c r="G22" s="33"/>
      <c r="H22" s="32"/>
      <c r="I22" s="33"/>
      <c r="J22" s="33"/>
      <c r="K22" s="33"/>
      <c r="L22" s="32"/>
      <c r="M22" s="33"/>
      <c r="N22" s="32"/>
      <c r="O22" s="33"/>
      <c r="P22" s="33"/>
      <c r="Q22" s="32"/>
      <c r="R22" s="33"/>
      <c r="S22" s="33"/>
      <c r="T22" s="33"/>
      <c r="U22" s="32"/>
      <c r="V22" s="33"/>
      <c r="W22" s="33"/>
      <c r="X22" s="33"/>
      <c r="Y22" s="33"/>
      <c r="Z22" s="33"/>
      <c r="AA22" s="33"/>
      <c r="AB22" s="33"/>
      <c r="AC22" s="33"/>
      <c r="AD22" s="32"/>
      <c r="AE22" s="32"/>
      <c r="AF22" s="32"/>
      <c r="AG22" s="32"/>
      <c r="AH22" s="32"/>
      <c r="AI22" s="32"/>
      <c r="AJ22" s="82"/>
    </row>
    <row r="23" spans="1:36">
      <c r="A23" s="89">
        <v>10</v>
      </c>
      <c r="B23" s="89" t="s">
        <v>75</v>
      </c>
      <c r="C23" s="89" t="s">
        <v>24</v>
      </c>
      <c r="D23" s="32" t="s">
        <v>18</v>
      </c>
      <c r="E23" s="33"/>
      <c r="F23" s="33" t="s">
        <v>19</v>
      </c>
      <c r="G23" s="33" t="s">
        <v>19</v>
      </c>
      <c r="H23" s="33" t="s">
        <v>19</v>
      </c>
      <c r="I23" s="33" t="s">
        <v>19</v>
      </c>
      <c r="J23" s="33" t="s">
        <v>19</v>
      </c>
      <c r="K23" s="33" t="s">
        <v>19</v>
      </c>
      <c r="L23" s="33" t="s">
        <v>19</v>
      </c>
      <c r="M23" s="33" t="s">
        <v>19</v>
      </c>
      <c r="N23" s="32"/>
      <c r="O23" s="33" t="s">
        <v>19</v>
      </c>
      <c r="P23" s="33" t="s">
        <v>19</v>
      </c>
      <c r="Q23" s="33" t="s">
        <v>19</v>
      </c>
      <c r="R23" s="33"/>
      <c r="S23" s="33" t="s">
        <v>19</v>
      </c>
      <c r="T23" s="33" t="s">
        <v>19</v>
      </c>
      <c r="U23" s="33"/>
      <c r="V23" s="33"/>
      <c r="W23" s="33"/>
      <c r="X23" s="33"/>
      <c r="Y23" s="33"/>
      <c r="Z23" s="33"/>
      <c r="AA23" s="33"/>
      <c r="AB23" s="33"/>
      <c r="AC23" s="33"/>
      <c r="AD23" s="32"/>
      <c r="AE23" s="32"/>
      <c r="AF23" s="32"/>
      <c r="AG23" s="32"/>
      <c r="AH23" s="32"/>
      <c r="AI23" s="32"/>
      <c r="AJ23" s="81">
        <f>COUNTIFS(E23:AI24,"✓")/2</f>
        <v>13</v>
      </c>
    </row>
    <row r="24" spans="1:36">
      <c r="A24" s="90"/>
      <c r="B24" s="90"/>
      <c r="C24" s="90"/>
      <c r="D24" s="32" t="s">
        <v>20</v>
      </c>
      <c r="E24" s="33"/>
      <c r="F24" s="33" t="s">
        <v>19</v>
      </c>
      <c r="G24" s="33" t="s">
        <v>19</v>
      </c>
      <c r="H24" s="33" t="s">
        <v>19</v>
      </c>
      <c r="I24" s="33" t="s">
        <v>19</v>
      </c>
      <c r="J24" s="33" t="s">
        <v>19</v>
      </c>
      <c r="K24" s="33" t="s">
        <v>19</v>
      </c>
      <c r="L24" s="33" t="s">
        <v>19</v>
      </c>
      <c r="M24" s="33" t="s">
        <v>19</v>
      </c>
      <c r="N24" s="32"/>
      <c r="O24" s="33" t="s">
        <v>19</v>
      </c>
      <c r="P24" s="33" t="s">
        <v>19</v>
      </c>
      <c r="Q24" s="33" t="s">
        <v>19</v>
      </c>
      <c r="R24" s="33"/>
      <c r="S24" s="33" t="s">
        <v>19</v>
      </c>
      <c r="T24" s="33" t="s">
        <v>19</v>
      </c>
      <c r="U24" s="33"/>
      <c r="V24" s="33"/>
      <c r="W24" s="33"/>
      <c r="X24" s="33"/>
      <c r="Y24" s="33"/>
      <c r="Z24" s="33"/>
      <c r="AA24" s="33"/>
      <c r="AB24" s="33"/>
      <c r="AC24" s="33"/>
      <c r="AD24" s="32"/>
      <c r="AE24" s="32"/>
      <c r="AF24" s="32"/>
      <c r="AG24" s="32"/>
      <c r="AH24" s="32"/>
      <c r="AI24" s="32"/>
      <c r="AJ24" s="82"/>
    </row>
    <row r="25" spans="1:36">
      <c r="A25" s="89">
        <v>11</v>
      </c>
      <c r="B25" s="89" t="s">
        <v>122</v>
      </c>
      <c r="C25" s="89" t="s">
        <v>117</v>
      </c>
      <c r="D25" s="32" t="s">
        <v>18</v>
      </c>
      <c r="E25" s="33"/>
      <c r="F25" s="33" t="s">
        <v>19</v>
      </c>
      <c r="G25" s="33"/>
      <c r="H25" s="33" t="s">
        <v>19</v>
      </c>
      <c r="I25" s="33" t="s">
        <v>19</v>
      </c>
      <c r="J25" s="33"/>
      <c r="K25" s="33"/>
      <c r="L25" s="32"/>
      <c r="M25" s="33"/>
      <c r="N25" s="33"/>
      <c r="O25" s="33"/>
      <c r="P25" s="33"/>
      <c r="Q25" s="33"/>
      <c r="R25" s="33" t="s">
        <v>19</v>
      </c>
      <c r="S25" s="33"/>
      <c r="T25" s="33" t="s">
        <v>19</v>
      </c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2"/>
      <c r="AF25" s="33"/>
      <c r="AG25" s="33"/>
      <c r="AH25" s="33"/>
      <c r="AI25" s="32"/>
      <c r="AJ25" s="81">
        <f>COUNTIFS(E25:AI26,"✓")/2</f>
        <v>5</v>
      </c>
    </row>
    <row r="26" spans="1:36">
      <c r="A26" s="90"/>
      <c r="B26" s="90"/>
      <c r="C26" s="90"/>
      <c r="D26" s="32" t="s">
        <v>20</v>
      </c>
      <c r="E26" s="33"/>
      <c r="F26" s="33" t="s">
        <v>19</v>
      </c>
      <c r="G26" s="33"/>
      <c r="H26" s="33" t="s">
        <v>19</v>
      </c>
      <c r="I26" s="33" t="s">
        <v>19</v>
      </c>
      <c r="J26" s="33"/>
      <c r="K26" s="33"/>
      <c r="L26" s="32"/>
      <c r="M26" s="33"/>
      <c r="N26" s="33"/>
      <c r="O26" s="33"/>
      <c r="P26" s="33"/>
      <c r="Q26" s="33"/>
      <c r="R26" s="33" t="s">
        <v>19</v>
      </c>
      <c r="S26" s="33"/>
      <c r="T26" s="33" t="s">
        <v>19</v>
      </c>
      <c r="U26" s="33"/>
      <c r="V26" s="33"/>
      <c r="W26" s="33"/>
      <c r="X26" s="33"/>
      <c r="Y26" s="33"/>
      <c r="Z26" s="32"/>
      <c r="AA26" s="33"/>
      <c r="AB26" s="33"/>
      <c r="AC26" s="33"/>
      <c r="AD26" s="33"/>
      <c r="AE26" s="32"/>
      <c r="AF26" s="33"/>
      <c r="AG26" s="33"/>
      <c r="AH26" s="33"/>
      <c r="AI26" s="32"/>
      <c r="AJ26" s="82"/>
    </row>
    <row r="27" spans="1:36">
      <c r="A27" s="89">
        <v>12</v>
      </c>
      <c r="B27" s="89" t="s">
        <v>78</v>
      </c>
      <c r="C27" s="89" t="s">
        <v>117</v>
      </c>
      <c r="D27" s="32" t="s">
        <v>18</v>
      </c>
      <c r="E27" s="33"/>
      <c r="F27" s="33" t="s">
        <v>19</v>
      </c>
      <c r="G27" s="33" t="s">
        <v>19</v>
      </c>
      <c r="H27" s="33" t="s">
        <v>19</v>
      </c>
      <c r="I27" s="33" t="s">
        <v>19</v>
      </c>
      <c r="J27" s="33"/>
      <c r="K27" s="33" t="s">
        <v>19</v>
      </c>
      <c r="L27" s="33" t="s">
        <v>19</v>
      </c>
      <c r="M27" s="33" t="s">
        <v>19</v>
      </c>
      <c r="N27" s="33" t="s">
        <v>19</v>
      </c>
      <c r="O27" s="33" t="s">
        <v>19</v>
      </c>
      <c r="P27" s="33" t="s">
        <v>19</v>
      </c>
      <c r="Q27" s="33" t="s">
        <v>19</v>
      </c>
      <c r="R27" s="33" t="s">
        <v>19</v>
      </c>
      <c r="S27" s="33" t="s">
        <v>19</v>
      </c>
      <c r="T27" s="33" t="s">
        <v>19</v>
      </c>
      <c r="U27" s="32"/>
      <c r="V27" s="33"/>
      <c r="W27" s="33"/>
      <c r="X27" s="33"/>
      <c r="Y27" s="33"/>
      <c r="Z27" s="32"/>
      <c r="AA27" s="33"/>
      <c r="AB27" s="33"/>
      <c r="AC27" s="33"/>
      <c r="AD27" s="33"/>
      <c r="AE27" s="33"/>
      <c r="AF27" s="33"/>
      <c r="AG27" s="33"/>
      <c r="AH27" s="33"/>
      <c r="AI27" s="32"/>
      <c r="AJ27" s="81">
        <f>COUNTIFS(E27:AI28,"✓")/2</f>
        <v>13.5</v>
      </c>
    </row>
    <row r="28" spans="1:36">
      <c r="A28" s="90"/>
      <c r="B28" s="90"/>
      <c r="C28" s="90"/>
      <c r="D28" s="32" t="s">
        <v>20</v>
      </c>
      <c r="E28" s="33"/>
      <c r="F28" s="33" t="s">
        <v>19</v>
      </c>
      <c r="G28" s="33" t="s">
        <v>19</v>
      </c>
      <c r="H28" s="33" t="s">
        <v>19</v>
      </c>
      <c r="I28" s="33" t="s">
        <v>19</v>
      </c>
      <c r="J28" s="33"/>
      <c r="K28" s="33" t="s">
        <v>19</v>
      </c>
      <c r="L28" s="33" t="s">
        <v>19</v>
      </c>
      <c r="M28" s="33"/>
      <c r="N28" s="33" t="s">
        <v>19</v>
      </c>
      <c r="O28" s="33" t="s">
        <v>19</v>
      </c>
      <c r="P28" s="33" t="s">
        <v>19</v>
      </c>
      <c r="Q28" s="33" t="s">
        <v>19</v>
      </c>
      <c r="R28" s="33" t="s">
        <v>19</v>
      </c>
      <c r="S28" s="33" t="s">
        <v>19</v>
      </c>
      <c r="T28" s="33" t="s">
        <v>19</v>
      </c>
      <c r="U28" s="32"/>
      <c r="V28" s="33"/>
      <c r="W28" s="33"/>
      <c r="X28" s="33"/>
      <c r="Y28" s="33"/>
      <c r="Z28" s="32"/>
      <c r="AA28" s="33"/>
      <c r="AB28" s="33"/>
      <c r="AC28" s="33"/>
      <c r="AD28" s="33"/>
      <c r="AE28" s="33"/>
      <c r="AF28" s="33"/>
      <c r="AG28" s="33"/>
      <c r="AH28" s="33"/>
      <c r="AI28" s="32"/>
      <c r="AJ28" s="82"/>
    </row>
    <row r="29" spans="1:36">
      <c r="A29" s="89">
        <v>13</v>
      </c>
      <c r="B29" s="89" t="s">
        <v>79</v>
      </c>
      <c r="C29" s="89" t="s">
        <v>24</v>
      </c>
      <c r="D29" s="32" t="s">
        <v>18</v>
      </c>
      <c r="E29" s="33"/>
      <c r="F29" s="33" t="s">
        <v>19</v>
      </c>
      <c r="G29" s="33" t="s">
        <v>19</v>
      </c>
      <c r="H29" s="33" t="s">
        <v>19</v>
      </c>
      <c r="I29" s="33" t="s">
        <v>19</v>
      </c>
      <c r="J29" s="32"/>
      <c r="K29" s="33" t="s">
        <v>19</v>
      </c>
      <c r="L29" s="33" t="s">
        <v>19</v>
      </c>
      <c r="M29" s="33" t="s">
        <v>19</v>
      </c>
      <c r="N29" s="33"/>
      <c r="O29" s="33" t="s">
        <v>19</v>
      </c>
      <c r="P29" s="33" t="s">
        <v>19</v>
      </c>
      <c r="Q29" s="33" t="s">
        <v>19</v>
      </c>
      <c r="R29" s="33" t="s">
        <v>19</v>
      </c>
      <c r="S29" s="32"/>
      <c r="T29" s="33" t="s">
        <v>19</v>
      </c>
      <c r="U29" s="33"/>
      <c r="V29" s="32"/>
      <c r="W29" s="32"/>
      <c r="X29" s="33"/>
      <c r="Y29" s="32"/>
      <c r="Z29" s="32"/>
      <c r="AA29" s="32"/>
      <c r="AB29" s="33"/>
      <c r="AC29" s="33"/>
      <c r="AD29" s="32"/>
      <c r="AE29" s="32"/>
      <c r="AF29" s="32"/>
      <c r="AG29" s="32"/>
      <c r="AH29" s="32"/>
      <c r="AI29" s="32"/>
      <c r="AJ29" s="81">
        <f>COUNTIFS(E29:AI30,"✓")/2</f>
        <v>12</v>
      </c>
    </row>
    <row r="30" spans="1:36">
      <c r="A30" s="90"/>
      <c r="B30" s="90"/>
      <c r="C30" s="90"/>
      <c r="D30" s="32" t="s">
        <v>20</v>
      </c>
      <c r="E30" s="33"/>
      <c r="F30" s="33" t="s">
        <v>19</v>
      </c>
      <c r="G30" s="33" t="s">
        <v>19</v>
      </c>
      <c r="H30" s="33" t="s">
        <v>19</v>
      </c>
      <c r="I30" s="33" t="s">
        <v>19</v>
      </c>
      <c r="J30" s="32"/>
      <c r="K30" s="33" t="s">
        <v>19</v>
      </c>
      <c r="L30" s="33" t="s">
        <v>19</v>
      </c>
      <c r="M30" s="33" t="s">
        <v>19</v>
      </c>
      <c r="N30" s="33"/>
      <c r="O30" s="33" t="s">
        <v>19</v>
      </c>
      <c r="P30" s="33" t="s">
        <v>19</v>
      </c>
      <c r="Q30" s="33" t="s">
        <v>19</v>
      </c>
      <c r="R30" s="33" t="s">
        <v>19</v>
      </c>
      <c r="S30" s="32"/>
      <c r="T30" s="33" t="s">
        <v>19</v>
      </c>
      <c r="U30" s="33"/>
      <c r="V30" s="32"/>
      <c r="W30" s="32"/>
      <c r="X30" s="33"/>
      <c r="Y30" s="32"/>
      <c r="Z30" s="32"/>
      <c r="AA30" s="32"/>
      <c r="AB30" s="33"/>
      <c r="AC30" s="33"/>
      <c r="AD30" s="32"/>
      <c r="AE30" s="32"/>
      <c r="AF30" s="32"/>
      <c r="AG30" s="32"/>
      <c r="AH30" s="32"/>
      <c r="AI30" s="32"/>
      <c r="AJ30" s="82"/>
    </row>
    <row r="31" spans="1:36">
      <c r="A31" s="89">
        <v>14</v>
      </c>
      <c r="B31" s="89" t="s">
        <v>81</v>
      </c>
      <c r="C31" s="89" t="s">
        <v>24</v>
      </c>
      <c r="D31" s="32" t="s">
        <v>18</v>
      </c>
      <c r="E31" s="33"/>
      <c r="F31" s="33" t="s">
        <v>19</v>
      </c>
      <c r="G31" s="33" t="s">
        <v>19</v>
      </c>
      <c r="H31" s="33" t="s">
        <v>19</v>
      </c>
      <c r="I31" s="33" t="s">
        <v>19</v>
      </c>
      <c r="J31" s="33" t="s">
        <v>19</v>
      </c>
      <c r="K31" s="33" t="s">
        <v>19</v>
      </c>
      <c r="L31" s="33" t="s">
        <v>19</v>
      </c>
      <c r="M31" s="33" t="s">
        <v>19</v>
      </c>
      <c r="N31" s="33" t="s">
        <v>19</v>
      </c>
      <c r="O31" s="33" t="s">
        <v>19</v>
      </c>
      <c r="P31" s="33" t="s">
        <v>19</v>
      </c>
      <c r="Q31" s="33" t="s">
        <v>19</v>
      </c>
      <c r="R31" s="32"/>
      <c r="S31" s="33" t="s">
        <v>19</v>
      </c>
      <c r="T31" s="33" t="s">
        <v>19</v>
      </c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81">
        <f>COUNTIFS(E31:AI32,"✓")/2</f>
        <v>14</v>
      </c>
    </row>
    <row r="32" spans="1:36">
      <c r="A32" s="90"/>
      <c r="B32" s="90"/>
      <c r="C32" s="90"/>
      <c r="D32" s="32" t="s">
        <v>20</v>
      </c>
      <c r="E32" s="33"/>
      <c r="F32" s="33" t="s">
        <v>19</v>
      </c>
      <c r="G32" s="33" t="s">
        <v>19</v>
      </c>
      <c r="H32" s="33" t="s">
        <v>19</v>
      </c>
      <c r="I32" s="33" t="s">
        <v>19</v>
      </c>
      <c r="J32" s="33" t="s">
        <v>19</v>
      </c>
      <c r="K32" s="33" t="s">
        <v>19</v>
      </c>
      <c r="L32" s="33" t="s">
        <v>19</v>
      </c>
      <c r="M32" s="33" t="s">
        <v>19</v>
      </c>
      <c r="N32" s="33" t="s">
        <v>19</v>
      </c>
      <c r="O32" s="33" t="s">
        <v>19</v>
      </c>
      <c r="P32" s="33" t="s">
        <v>19</v>
      </c>
      <c r="Q32" s="33" t="s">
        <v>19</v>
      </c>
      <c r="R32" s="32"/>
      <c r="S32" s="33" t="s">
        <v>19</v>
      </c>
      <c r="T32" s="33" t="s">
        <v>19</v>
      </c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82"/>
    </row>
    <row r="33" spans="1:36">
      <c r="A33" s="89">
        <v>15</v>
      </c>
      <c r="B33" s="89" t="s">
        <v>123</v>
      </c>
      <c r="C33" s="89" t="s">
        <v>117</v>
      </c>
      <c r="D33" s="32" t="s">
        <v>18</v>
      </c>
      <c r="E33" s="33"/>
      <c r="F33" s="33" t="s">
        <v>19</v>
      </c>
      <c r="G33" s="33" t="s">
        <v>19</v>
      </c>
      <c r="H33" s="33" t="s">
        <v>19</v>
      </c>
      <c r="I33" s="33" t="s">
        <v>19</v>
      </c>
      <c r="J33" s="32"/>
      <c r="K33" s="32"/>
      <c r="L33" s="33"/>
      <c r="M33" s="32"/>
      <c r="N33" s="33" t="s">
        <v>19</v>
      </c>
      <c r="O33" s="33" t="s">
        <v>19</v>
      </c>
      <c r="P33" s="33" t="s">
        <v>19</v>
      </c>
      <c r="Q33" s="33" t="s">
        <v>19</v>
      </c>
      <c r="R33" s="32"/>
      <c r="S33" s="33" t="s">
        <v>19</v>
      </c>
      <c r="T33" s="33" t="s">
        <v>19</v>
      </c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81">
        <f>COUNTIFS(E33:AI34,"✓")/2</f>
        <v>10</v>
      </c>
    </row>
    <row r="34" spans="1:36">
      <c r="A34" s="90"/>
      <c r="B34" s="90"/>
      <c r="C34" s="90"/>
      <c r="D34" s="32" t="s">
        <v>20</v>
      </c>
      <c r="E34" s="33"/>
      <c r="F34" s="33" t="s">
        <v>19</v>
      </c>
      <c r="G34" s="33" t="s">
        <v>19</v>
      </c>
      <c r="H34" s="33" t="s">
        <v>19</v>
      </c>
      <c r="I34" s="33" t="s">
        <v>19</v>
      </c>
      <c r="J34" s="33"/>
      <c r="K34" s="33"/>
      <c r="L34" s="33"/>
      <c r="M34" s="33"/>
      <c r="N34" s="33" t="s">
        <v>19</v>
      </c>
      <c r="O34" s="33" t="s">
        <v>19</v>
      </c>
      <c r="P34" s="33" t="s">
        <v>19</v>
      </c>
      <c r="Q34" s="33" t="s">
        <v>19</v>
      </c>
      <c r="R34" s="32"/>
      <c r="S34" s="33" t="s">
        <v>19</v>
      </c>
      <c r="T34" s="33" t="s">
        <v>19</v>
      </c>
      <c r="U34" s="32"/>
      <c r="V34" s="32"/>
      <c r="W34" s="33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82"/>
    </row>
    <row r="35" spans="1:36">
      <c r="A35" s="89">
        <v>16</v>
      </c>
      <c r="B35" s="89" t="s">
        <v>124</v>
      </c>
      <c r="C35" s="89" t="s">
        <v>117</v>
      </c>
      <c r="D35" s="32" t="s">
        <v>18</v>
      </c>
      <c r="E35" s="33"/>
      <c r="F35" s="33" t="s">
        <v>19</v>
      </c>
      <c r="G35" s="33"/>
      <c r="H35" s="33"/>
      <c r="I35" s="33"/>
      <c r="J35" s="33"/>
      <c r="K35" s="33"/>
      <c r="L35" s="33"/>
      <c r="M35" s="33"/>
      <c r="N35" s="33"/>
      <c r="O35" s="33"/>
      <c r="P35" s="32"/>
      <c r="Q35" s="32"/>
      <c r="R35" s="32"/>
      <c r="S35" s="32"/>
      <c r="T35" s="32"/>
      <c r="U35" s="32"/>
      <c r="V35" s="32"/>
      <c r="W35" s="33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81">
        <f>COUNTIFS(E35:AI36,"✓")/2</f>
        <v>1</v>
      </c>
    </row>
    <row r="36" spans="1:36">
      <c r="A36" s="90"/>
      <c r="B36" s="90"/>
      <c r="C36" s="90"/>
      <c r="D36" s="32" t="s">
        <v>20</v>
      </c>
      <c r="E36" s="33"/>
      <c r="F36" s="33" t="s">
        <v>19</v>
      </c>
      <c r="G36" s="33"/>
      <c r="H36" s="33"/>
      <c r="I36" s="33"/>
      <c r="J36" s="33"/>
      <c r="K36" s="33"/>
      <c r="L36" s="33"/>
      <c r="M36" s="33"/>
      <c r="N36" s="33"/>
      <c r="O36" s="33"/>
      <c r="P36" s="32"/>
      <c r="Q36" s="32"/>
      <c r="R36" s="32"/>
      <c r="S36" s="32"/>
      <c r="T36" s="32"/>
      <c r="U36" s="32"/>
      <c r="V36" s="32"/>
      <c r="W36" s="33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82"/>
    </row>
    <row r="37" spans="1:36">
      <c r="A37" s="89">
        <v>17</v>
      </c>
      <c r="B37" s="89" t="s">
        <v>74</v>
      </c>
      <c r="C37" s="89" t="s">
        <v>117</v>
      </c>
      <c r="D37" s="32" t="s">
        <v>18</v>
      </c>
      <c r="E37" s="33"/>
      <c r="F37" s="33" t="s">
        <v>19</v>
      </c>
      <c r="G37" s="33"/>
      <c r="H37" s="33"/>
      <c r="I37" s="33"/>
      <c r="J37" s="33"/>
      <c r="K37" s="32"/>
      <c r="L37" s="33"/>
      <c r="M37" s="32"/>
      <c r="N37" s="33"/>
      <c r="O37" s="33"/>
      <c r="P37" s="33"/>
      <c r="Q37" s="33"/>
      <c r="R37" s="33"/>
      <c r="S37" s="33"/>
      <c r="T37" s="33"/>
      <c r="U37" s="32"/>
      <c r="V37" s="33"/>
      <c r="W37" s="33"/>
      <c r="X37" s="33"/>
      <c r="Y37" s="33"/>
      <c r="Z37" s="32"/>
      <c r="AA37" s="32"/>
      <c r="AB37" s="33"/>
      <c r="AC37" s="33"/>
      <c r="AD37" s="32"/>
      <c r="AE37" s="32"/>
      <c r="AF37" s="33"/>
      <c r="AG37" s="33"/>
      <c r="AH37" s="32"/>
      <c r="AI37" s="32"/>
      <c r="AJ37" s="81">
        <f>COUNTIFS(E37:AI38,"✓")/2</f>
        <v>1</v>
      </c>
    </row>
    <row r="38" spans="1:36">
      <c r="A38" s="90"/>
      <c r="B38" s="90"/>
      <c r="C38" s="90"/>
      <c r="D38" s="32" t="s">
        <v>20</v>
      </c>
      <c r="E38" s="33"/>
      <c r="F38" s="33" t="s">
        <v>19</v>
      </c>
      <c r="G38" s="33"/>
      <c r="H38" s="33"/>
      <c r="I38" s="33"/>
      <c r="J38" s="33"/>
      <c r="K38" s="32"/>
      <c r="L38" s="33"/>
      <c r="M38" s="32"/>
      <c r="N38" s="33"/>
      <c r="O38" s="33"/>
      <c r="P38" s="33"/>
      <c r="Q38" s="33"/>
      <c r="R38" s="33"/>
      <c r="S38" s="33"/>
      <c r="T38" s="33"/>
      <c r="U38" s="32"/>
      <c r="V38" s="33"/>
      <c r="W38" s="33"/>
      <c r="X38" s="33"/>
      <c r="Y38" s="33"/>
      <c r="Z38" s="32"/>
      <c r="AA38" s="32"/>
      <c r="AB38" s="33"/>
      <c r="AC38" s="33"/>
      <c r="AD38" s="32"/>
      <c r="AE38" s="32"/>
      <c r="AF38" s="33"/>
      <c r="AG38" s="33"/>
      <c r="AH38" s="32"/>
      <c r="AI38" s="32"/>
      <c r="AJ38" s="82"/>
    </row>
    <row r="39" spans="1:36">
      <c r="A39" s="89">
        <v>18</v>
      </c>
      <c r="B39" s="89" t="s">
        <v>125</v>
      </c>
      <c r="C39" s="89" t="s">
        <v>117</v>
      </c>
      <c r="D39" s="32" t="s">
        <v>18</v>
      </c>
      <c r="E39" s="33"/>
      <c r="F39" s="33"/>
      <c r="G39" s="33" t="s">
        <v>19</v>
      </c>
      <c r="H39" s="33"/>
      <c r="I39" s="33"/>
      <c r="J39" s="33" t="s">
        <v>19</v>
      </c>
      <c r="K39" s="33" t="s">
        <v>19</v>
      </c>
      <c r="L39" s="33"/>
      <c r="M39" s="33" t="s">
        <v>19</v>
      </c>
      <c r="N39" s="33" t="s">
        <v>19</v>
      </c>
      <c r="O39" s="33" t="s">
        <v>19</v>
      </c>
      <c r="P39" s="33" t="s">
        <v>19</v>
      </c>
      <c r="Q39" s="33"/>
      <c r="R39" s="33" t="s">
        <v>19</v>
      </c>
      <c r="S39" s="33" t="s">
        <v>19</v>
      </c>
      <c r="T39" s="33" t="s">
        <v>19</v>
      </c>
      <c r="U39" s="32"/>
      <c r="V39" s="33"/>
      <c r="W39" s="33"/>
      <c r="X39" s="33"/>
      <c r="Y39" s="33"/>
      <c r="Z39" s="32"/>
      <c r="AA39" s="33"/>
      <c r="AB39" s="33"/>
      <c r="AC39" s="33"/>
      <c r="AD39" s="33"/>
      <c r="AE39" s="33"/>
      <c r="AF39" s="33"/>
      <c r="AG39" s="33"/>
      <c r="AH39" s="33"/>
      <c r="AI39" s="32"/>
      <c r="AJ39" s="81">
        <f>COUNTIFS(E39:AI40,"✓")/2</f>
        <v>10</v>
      </c>
    </row>
    <row r="40" spans="1:36">
      <c r="A40" s="90"/>
      <c r="B40" s="90"/>
      <c r="C40" s="90"/>
      <c r="D40" s="32" t="s">
        <v>20</v>
      </c>
      <c r="E40" s="33"/>
      <c r="F40" s="33"/>
      <c r="G40" s="33" t="s">
        <v>19</v>
      </c>
      <c r="H40" s="33"/>
      <c r="I40" s="33"/>
      <c r="J40" s="33" t="s">
        <v>19</v>
      </c>
      <c r="K40" s="33" t="s">
        <v>19</v>
      </c>
      <c r="L40" s="33"/>
      <c r="M40" s="33" t="s">
        <v>19</v>
      </c>
      <c r="N40" s="33" t="s">
        <v>19</v>
      </c>
      <c r="O40" s="33" t="s">
        <v>19</v>
      </c>
      <c r="P40" s="33" t="s">
        <v>19</v>
      </c>
      <c r="Q40" s="33"/>
      <c r="R40" s="33" t="s">
        <v>19</v>
      </c>
      <c r="S40" s="33" t="s">
        <v>19</v>
      </c>
      <c r="T40" s="33" t="s">
        <v>19</v>
      </c>
      <c r="U40" s="32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3"/>
      <c r="AI40" s="32"/>
      <c r="AJ40" s="82"/>
    </row>
    <row r="41" spans="1:36">
      <c r="A41" s="89">
        <v>19</v>
      </c>
      <c r="B41" s="89" t="s">
        <v>126</v>
      </c>
      <c r="C41" s="89" t="s">
        <v>117</v>
      </c>
      <c r="D41" s="32" t="s">
        <v>18</v>
      </c>
      <c r="E41" s="33"/>
      <c r="F41" s="32"/>
      <c r="G41" s="33" t="s">
        <v>19</v>
      </c>
      <c r="H41" s="33" t="s">
        <v>19</v>
      </c>
      <c r="I41" s="33"/>
      <c r="J41" s="33" t="s">
        <v>19</v>
      </c>
      <c r="K41" s="33"/>
      <c r="L41" s="32"/>
      <c r="M41" s="33" t="s">
        <v>19</v>
      </c>
      <c r="N41" s="33" t="s">
        <v>19</v>
      </c>
      <c r="O41" s="33" t="s">
        <v>19</v>
      </c>
      <c r="P41" s="33" t="s">
        <v>19</v>
      </c>
      <c r="Q41" s="32"/>
      <c r="R41" s="33" t="s">
        <v>19</v>
      </c>
      <c r="S41" s="33" t="s">
        <v>19</v>
      </c>
      <c r="T41" s="33" t="s">
        <v>19</v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81">
        <f>COUNTIFS(E41:AI42,"✓")/2</f>
        <v>10</v>
      </c>
    </row>
    <row r="42" spans="1:36">
      <c r="A42" s="90"/>
      <c r="B42" s="90"/>
      <c r="C42" s="90"/>
      <c r="D42" s="32" t="s">
        <v>20</v>
      </c>
      <c r="E42" s="33"/>
      <c r="F42" s="32"/>
      <c r="G42" s="33" t="s">
        <v>19</v>
      </c>
      <c r="H42" s="33" t="s">
        <v>19</v>
      </c>
      <c r="I42" s="33"/>
      <c r="J42" s="33" t="s">
        <v>19</v>
      </c>
      <c r="K42" s="33"/>
      <c r="L42" s="32"/>
      <c r="M42" s="33" t="s">
        <v>19</v>
      </c>
      <c r="N42" s="33" t="s">
        <v>19</v>
      </c>
      <c r="O42" s="33" t="s">
        <v>19</v>
      </c>
      <c r="P42" s="33" t="s">
        <v>19</v>
      </c>
      <c r="Q42" s="32"/>
      <c r="R42" s="33" t="s">
        <v>19</v>
      </c>
      <c r="S42" s="33" t="s">
        <v>19</v>
      </c>
      <c r="T42" s="33" t="s">
        <v>19</v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82"/>
    </row>
    <row r="43" spans="1:36">
      <c r="A43" s="89">
        <v>20</v>
      </c>
      <c r="B43" s="89" t="s">
        <v>80</v>
      </c>
      <c r="C43" s="89" t="s">
        <v>117</v>
      </c>
      <c r="D43" s="32" t="s">
        <v>18</v>
      </c>
      <c r="E43" s="33"/>
      <c r="F43" s="33"/>
      <c r="G43" s="32"/>
      <c r="H43" s="33" t="s">
        <v>19</v>
      </c>
      <c r="I43" s="32"/>
      <c r="J43" s="32"/>
      <c r="K43" s="33"/>
      <c r="L43" s="33"/>
      <c r="M43" s="33" t="s">
        <v>19</v>
      </c>
      <c r="N43" s="32"/>
      <c r="O43" s="33"/>
      <c r="P43" s="32"/>
      <c r="Q43" s="32"/>
      <c r="R43" s="32"/>
      <c r="S43" s="32"/>
      <c r="T43" s="33" t="s">
        <v>19</v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81">
        <f>COUNTIFS(E43:AI44,"✓")/2</f>
        <v>3</v>
      </c>
    </row>
    <row r="44" spans="1:36">
      <c r="A44" s="90"/>
      <c r="B44" s="90"/>
      <c r="C44" s="90"/>
      <c r="D44" s="32" t="s">
        <v>20</v>
      </c>
      <c r="E44" s="33"/>
      <c r="F44" s="33"/>
      <c r="G44" s="32"/>
      <c r="H44" s="33" t="s">
        <v>19</v>
      </c>
      <c r="I44" s="32"/>
      <c r="J44" s="32"/>
      <c r="K44" s="33"/>
      <c r="L44" s="33"/>
      <c r="M44" s="33" t="s">
        <v>19</v>
      </c>
      <c r="N44" s="32"/>
      <c r="O44" s="33"/>
      <c r="P44" s="32"/>
      <c r="Q44" s="32"/>
      <c r="R44" s="32"/>
      <c r="S44" s="32"/>
      <c r="T44" s="33" t="s">
        <v>19</v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82"/>
    </row>
    <row r="45" spans="1:36">
      <c r="A45" s="89">
        <v>21</v>
      </c>
      <c r="B45" s="89" t="s">
        <v>127</v>
      </c>
      <c r="C45" s="89" t="s">
        <v>117</v>
      </c>
      <c r="D45" s="32" t="s">
        <v>18</v>
      </c>
      <c r="E45" s="33"/>
      <c r="F45" s="33"/>
      <c r="G45" s="33"/>
      <c r="H45" s="33" t="s">
        <v>19</v>
      </c>
      <c r="I45" s="33" t="s">
        <v>19</v>
      </c>
      <c r="J45" s="33" t="s">
        <v>19</v>
      </c>
      <c r="K45" s="31"/>
      <c r="L45" s="31"/>
      <c r="M45" s="31"/>
      <c r="N45" s="31"/>
      <c r="O45" s="31"/>
      <c r="P45" s="31"/>
      <c r="Q45" s="31"/>
      <c r="R45" s="33"/>
      <c r="S45" s="33"/>
      <c r="T45" s="33"/>
      <c r="U45" s="33"/>
      <c r="V45" s="33"/>
      <c r="W45" s="33"/>
      <c r="X45" s="33"/>
      <c r="Y45" s="33"/>
      <c r="Z45" s="31"/>
      <c r="AA45" s="33"/>
      <c r="AB45" s="33"/>
      <c r="AC45" s="31"/>
      <c r="AD45" s="31"/>
      <c r="AE45" s="31"/>
      <c r="AF45" s="31"/>
      <c r="AG45" s="31"/>
      <c r="AH45" s="31"/>
      <c r="AI45" s="31"/>
      <c r="AJ45" s="81">
        <f>COUNTIFS(E45:AI46,"✓")/2</f>
        <v>3</v>
      </c>
    </row>
    <row r="46" spans="1:36">
      <c r="A46" s="90"/>
      <c r="B46" s="90"/>
      <c r="C46" s="90"/>
      <c r="D46" s="32" t="s">
        <v>20</v>
      </c>
      <c r="E46" s="33"/>
      <c r="F46" s="33"/>
      <c r="G46" s="33"/>
      <c r="H46" s="33" t="s">
        <v>19</v>
      </c>
      <c r="I46" s="33" t="s">
        <v>19</v>
      </c>
      <c r="J46" s="33" t="s">
        <v>19</v>
      </c>
      <c r="K46" s="31"/>
      <c r="L46" s="31"/>
      <c r="M46" s="31"/>
      <c r="N46" s="31"/>
      <c r="O46" s="31"/>
      <c r="P46" s="31"/>
      <c r="Q46" s="31"/>
      <c r="R46" s="33"/>
      <c r="S46" s="31"/>
      <c r="T46" s="33"/>
      <c r="U46" s="33"/>
      <c r="V46" s="33"/>
      <c r="W46" s="33"/>
      <c r="X46" s="33"/>
      <c r="Y46" s="33"/>
      <c r="Z46" s="31"/>
      <c r="AA46" s="33"/>
      <c r="AB46" s="31"/>
      <c r="AC46" s="31"/>
      <c r="AD46" s="31"/>
      <c r="AE46" s="31"/>
      <c r="AF46" s="31"/>
      <c r="AG46" s="31"/>
      <c r="AH46" s="31"/>
      <c r="AI46" s="31"/>
      <c r="AJ46" s="82"/>
    </row>
    <row r="47" spans="1:36">
      <c r="A47" s="89">
        <v>22</v>
      </c>
      <c r="B47" s="89" t="s">
        <v>128</v>
      </c>
      <c r="C47" s="89" t="s">
        <v>117</v>
      </c>
      <c r="D47" s="32" t="s">
        <v>18</v>
      </c>
      <c r="E47" s="33"/>
      <c r="F47" s="33"/>
      <c r="G47" s="33"/>
      <c r="H47" s="33" t="s">
        <v>19</v>
      </c>
      <c r="I47" s="33"/>
      <c r="J47" s="33"/>
      <c r="K47" s="31"/>
      <c r="L47" s="33"/>
      <c r="M47" s="33"/>
      <c r="N47" s="33"/>
      <c r="O47" s="33"/>
      <c r="P47" s="33"/>
      <c r="Q47" s="33"/>
      <c r="R47" s="33"/>
      <c r="S47" s="31"/>
      <c r="T47" s="33"/>
      <c r="U47" s="31"/>
      <c r="V47" s="33"/>
      <c r="W47" s="33"/>
      <c r="X47" s="31"/>
      <c r="Y47" s="31"/>
      <c r="Z47" s="31"/>
      <c r="AA47" s="31"/>
      <c r="AB47" s="33"/>
      <c r="AC47" s="31"/>
      <c r="AD47" s="31"/>
      <c r="AE47" s="31"/>
      <c r="AF47" s="31"/>
      <c r="AG47" s="31"/>
      <c r="AH47" s="31"/>
      <c r="AI47" s="31"/>
      <c r="AJ47" s="81">
        <f>COUNTIFS(E47:AI48,"✓")/2</f>
        <v>1</v>
      </c>
    </row>
    <row r="48" spans="1:36">
      <c r="A48" s="90"/>
      <c r="B48" s="90"/>
      <c r="C48" s="90"/>
      <c r="D48" s="32" t="s">
        <v>20</v>
      </c>
      <c r="E48" s="33"/>
      <c r="F48" s="33"/>
      <c r="G48" s="33"/>
      <c r="H48" s="33" t="s">
        <v>19</v>
      </c>
      <c r="I48" s="33"/>
      <c r="J48" s="33"/>
      <c r="K48" s="31"/>
      <c r="L48" s="33"/>
      <c r="M48" s="33"/>
      <c r="N48" s="33"/>
      <c r="O48" s="33"/>
      <c r="P48" s="33"/>
      <c r="Q48" s="33"/>
      <c r="R48" s="33"/>
      <c r="S48" s="31"/>
      <c r="T48" s="33"/>
      <c r="U48" s="31"/>
      <c r="V48" s="33"/>
      <c r="W48" s="31"/>
      <c r="X48" s="31"/>
      <c r="Y48" s="31"/>
      <c r="Z48" s="31"/>
      <c r="AA48" s="31"/>
      <c r="AB48" s="33"/>
      <c r="AC48" s="31"/>
      <c r="AD48" s="31"/>
      <c r="AE48" s="31"/>
      <c r="AF48" s="31"/>
      <c r="AG48" s="31"/>
      <c r="AH48" s="31"/>
      <c r="AI48" s="31"/>
      <c r="AJ48" s="82"/>
    </row>
    <row r="49" spans="1:36">
      <c r="A49" s="89">
        <v>23</v>
      </c>
      <c r="B49" s="89" t="s">
        <v>129</v>
      </c>
      <c r="C49" s="89" t="s">
        <v>24</v>
      </c>
      <c r="D49" s="32" t="s">
        <v>18</v>
      </c>
      <c r="E49" s="33"/>
      <c r="F49" s="33"/>
      <c r="G49" s="31"/>
      <c r="H49" s="33" t="s">
        <v>19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81">
        <f>COUNTIFS(E49:AI50,"✓")/2</f>
        <v>1</v>
      </c>
    </row>
    <row r="50" spans="1:36">
      <c r="A50" s="90"/>
      <c r="B50" s="90"/>
      <c r="C50" s="90"/>
      <c r="D50" s="32" t="s">
        <v>20</v>
      </c>
      <c r="E50" s="33"/>
      <c r="F50" s="33"/>
      <c r="G50" s="31"/>
      <c r="H50" s="33" t="s">
        <v>19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82"/>
    </row>
    <row r="51" spans="1:36">
      <c r="A51" s="89">
        <v>24</v>
      </c>
      <c r="B51" s="89" t="s">
        <v>130</v>
      </c>
      <c r="C51" s="89" t="s">
        <v>117</v>
      </c>
      <c r="D51" s="32" t="s">
        <v>18</v>
      </c>
      <c r="E51" s="33"/>
      <c r="F51" s="31"/>
      <c r="G51" s="31"/>
      <c r="H51" s="31"/>
      <c r="I51" s="33" t="s">
        <v>19</v>
      </c>
      <c r="J51" s="33"/>
      <c r="K51" s="33" t="s">
        <v>19</v>
      </c>
      <c r="L51" s="33" t="s">
        <v>19</v>
      </c>
      <c r="M51" s="33" t="s">
        <v>19</v>
      </c>
      <c r="N51" s="33"/>
      <c r="O51" s="33" t="s">
        <v>19</v>
      </c>
      <c r="P51" s="33" t="s">
        <v>19</v>
      </c>
      <c r="Q51" s="31"/>
      <c r="R51" s="33" t="s">
        <v>19</v>
      </c>
      <c r="S51" s="33"/>
      <c r="T51" s="33" t="s">
        <v>19</v>
      </c>
      <c r="U51" s="31"/>
      <c r="V51" s="33"/>
      <c r="W51" s="33"/>
      <c r="X51" s="33"/>
      <c r="Y51" s="33"/>
      <c r="Z51" s="31"/>
      <c r="AA51" s="33"/>
      <c r="AB51" s="33"/>
      <c r="AC51" s="33"/>
      <c r="AD51" s="33"/>
      <c r="AE51" s="33"/>
      <c r="AF51" s="33"/>
      <c r="AG51" s="33"/>
      <c r="AH51" s="33"/>
      <c r="AI51" s="31"/>
      <c r="AJ51" s="81">
        <f>COUNTIFS(E51:AI52,"✓")/2</f>
        <v>8.5</v>
      </c>
    </row>
    <row r="52" spans="1:36">
      <c r="A52" s="90"/>
      <c r="B52" s="90"/>
      <c r="C52" s="90"/>
      <c r="D52" s="32" t="s">
        <v>20</v>
      </c>
      <c r="E52" s="33"/>
      <c r="F52" s="31"/>
      <c r="G52" s="31"/>
      <c r="H52" s="31"/>
      <c r="I52" s="33" t="s">
        <v>19</v>
      </c>
      <c r="J52" s="33" t="s">
        <v>19</v>
      </c>
      <c r="K52" s="33" t="s">
        <v>19</v>
      </c>
      <c r="L52" s="33" t="s">
        <v>19</v>
      </c>
      <c r="M52" s="33" t="s">
        <v>19</v>
      </c>
      <c r="N52" s="33"/>
      <c r="O52" s="33" t="s">
        <v>19</v>
      </c>
      <c r="P52" s="33" t="s">
        <v>19</v>
      </c>
      <c r="Q52" s="31"/>
      <c r="R52" s="33" t="s">
        <v>19</v>
      </c>
      <c r="S52" s="33"/>
      <c r="T52" s="33" t="s">
        <v>19</v>
      </c>
      <c r="U52" s="31"/>
      <c r="V52" s="33"/>
      <c r="W52" s="33"/>
      <c r="X52" s="33"/>
      <c r="Y52" s="33"/>
      <c r="Z52" s="31"/>
      <c r="AA52" s="33"/>
      <c r="AB52" s="33"/>
      <c r="AC52" s="33"/>
      <c r="AD52" s="31"/>
      <c r="AE52" s="33"/>
      <c r="AF52" s="33"/>
      <c r="AG52" s="33"/>
      <c r="AH52" s="33"/>
      <c r="AI52" s="31"/>
      <c r="AJ52" s="82"/>
    </row>
    <row r="53" spans="1:36">
      <c r="A53" s="89">
        <v>25</v>
      </c>
      <c r="B53" s="89" t="s">
        <v>60</v>
      </c>
      <c r="C53" s="89" t="s">
        <v>117</v>
      </c>
      <c r="D53" s="32" t="s">
        <v>18</v>
      </c>
      <c r="E53" s="33"/>
      <c r="F53" s="33"/>
      <c r="G53" s="31"/>
      <c r="H53" s="31"/>
      <c r="I53" s="33" t="s">
        <v>19</v>
      </c>
      <c r="J53" s="33"/>
      <c r="K53" s="33" t="s">
        <v>19</v>
      </c>
      <c r="L53" s="33" t="s">
        <v>19</v>
      </c>
      <c r="M53" s="33" t="s">
        <v>19</v>
      </c>
      <c r="N53" s="33"/>
      <c r="O53" s="33" t="s">
        <v>19</v>
      </c>
      <c r="P53" s="31"/>
      <c r="Q53" s="33" t="s">
        <v>19</v>
      </c>
      <c r="R53" s="33" t="s">
        <v>19</v>
      </c>
      <c r="S53" s="31"/>
      <c r="T53" s="33"/>
      <c r="U53" s="31"/>
      <c r="V53" s="33"/>
      <c r="W53" s="33"/>
      <c r="X53" s="31"/>
      <c r="Y53" s="33"/>
      <c r="Z53" s="31"/>
      <c r="AA53" s="33"/>
      <c r="AB53" s="33"/>
      <c r="AC53" s="33"/>
      <c r="AD53" s="33"/>
      <c r="AE53" s="33"/>
      <c r="AF53" s="31"/>
      <c r="AG53" s="33"/>
      <c r="AH53" s="33"/>
      <c r="AI53" s="31"/>
      <c r="AJ53" s="81">
        <f>COUNTIFS(E53:AI54,"✓")/2</f>
        <v>7.5</v>
      </c>
    </row>
    <row r="54" spans="1:36">
      <c r="A54" s="90"/>
      <c r="B54" s="90"/>
      <c r="C54" s="90"/>
      <c r="D54" s="32" t="s">
        <v>20</v>
      </c>
      <c r="E54" s="33"/>
      <c r="F54" s="33"/>
      <c r="G54" s="31"/>
      <c r="H54" s="31"/>
      <c r="I54" s="33" t="s">
        <v>19</v>
      </c>
      <c r="J54" s="33" t="s">
        <v>19</v>
      </c>
      <c r="K54" s="33" t="s">
        <v>19</v>
      </c>
      <c r="L54" s="33" t="s">
        <v>19</v>
      </c>
      <c r="M54" s="33" t="s">
        <v>19</v>
      </c>
      <c r="N54" s="33"/>
      <c r="O54" s="33" t="s">
        <v>19</v>
      </c>
      <c r="P54" s="31"/>
      <c r="Q54" s="33" t="s">
        <v>19</v>
      </c>
      <c r="R54" s="33" t="s">
        <v>19</v>
      </c>
      <c r="S54" s="31"/>
      <c r="T54" s="33"/>
      <c r="U54" s="31"/>
      <c r="V54" s="33"/>
      <c r="W54" s="33"/>
      <c r="X54" s="31"/>
      <c r="Y54" s="31"/>
      <c r="Z54" s="31"/>
      <c r="AA54" s="33"/>
      <c r="AB54" s="33"/>
      <c r="AC54" s="33"/>
      <c r="AD54" s="33"/>
      <c r="AE54" s="33"/>
      <c r="AF54" s="31"/>
      <c r="AG54" s="33"/>
      <c r="AH54" s="33"/>
      <c r="AI54" s="31"/>
      <c r="AJ54" s="82"/>
    </row>
    <row r="55" spans="1:36">
      <c r="A55" s="89">
        <v>26</v>
      </c>
      <c r="B55" s="89" t="s">
        <v>35</v>
      </c>
      <c r="C55" s="89" t="s">
        <v>117</v>
      </c>
      <c r="D55" s="32" t="s">
        <v>18</v>
      </c>
      <c r="E55" s="33"/>
      <c r="F55" s="33"/>
      <c r="G55" s="31"/>
      <c r="H55" s="31"/>
      <c r="I55" s="33" t="s">
        <v>19</v>
      </c>
      <c r="J55" s="33"/>
      <c r="K55" s="33"/>
      <c r="L55" s="31"/>
      <c r="M55" s="33"/>
      <c r="N55" s="31"/>
      <c r="O55" s="33"/>
      <c r="P55" s="33"/>
      <c r="Q55" s="33"/>
      <c r="R55" s="33"/>
      <c r="S55" s="31"/>
      <c r="T55" s="33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81">
        <f t="shared" ref="AJ55" si="0">COUNTIFS(E55:AI56,"✓")/2</f>
        <v>1</v>
      </c>
    </row>
    <row r="56" spans="1:36">
      <c r="A56" s="90"/>
      <c r="B56" s="90"/>
      <c r="C56" s="90"/>
      <c r="D56" s="32" t="s">
        <v>20</v>
      </c>
      <c r="E56" s="33"/>
      <c r="F56" s="33"/>
      <c r="G56" s="31"/>
      <c r="H56" s="31"/>
      <c r="I56" s="33" t="s">
        <v>19</v>
      </c>
      <c r="J56" s="33"/>
      <c r="K56" s="33"/>
      <c r="L56" s="31"/>
      <c r="M56" s="33"/>
      <c r="N56" s="31"/>
      <c r="O56" s="33"/>
      <c r="P56" s="33"/>
      <c r="Q56" s="33"/>
      <c r="R56" s="33"/>
      <c r="S56" s="31"/>
      <c r="T56" s="33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82"/>
    </row>
    <row r="57" spans="1:36">
      <c r="A57" s="89">
        <v>27</v>
      </c>
      <c r="B57" s="89" t="s">
        <v>131</v>
      </c>
      <c r="C57" s="89" t="s">
        <v>24</v>
      </c>
      <c r="D57" s="32" t="s">
        <v>18</v>
      </c>
      <c r="E57" s="31"/>
      <c r="F57" s="33"/>
      <c r="G57" s="33"/>
      <c r="H57" s="33"/>
      <c r="I57" s="33" t="s">
        <v>19</v>
      </c>
      <c r="J57" s="33" t="s">
        <v>19</v>
      </c>
      <c r="K57" s="33" t="s">
        <v>19</v>
      </c>
      <c r="L57" s="33" t="s">
        <v>19</v>
      </c>
      <c r="M57" s="33" t="s">
        <v>19</v>
      </c>
      <c r="N57" s="33"/>
      <c r="O57" s="33" t="s">
        <v>19</v>
      </c>
      <c r="P57" s="33" t="s">
        <v>19</v>
      </c>
      <c r="Q57" s="33" t="s">
        <v>19</v>
      </c>
      <c r="R57" s="31"/>
      <c r="S57" s="33"/>
      <c r="T57" s="33"/>
      <c r="U57" s="31"/>
      <c r="V57" s="31"/>
      <c r="W57" s="31"/>
      <c r="X57" s="33"/>
      <c r="Y57" s="33"/>
      <c r="Z57" s="31"/>
      <c r="AA57" s="33"/>
      <c r="AB57" s="33"/>
      <c r="AC57" s="31"/>
      <c r="AD57" s="33"/>
      <c r="AE57" s="33"/>
      <c r="AF57" s="33"/>
      <c r="AG57" s="33"/>
      <c r="AH57" s="31"/>
      <c r="AI57" s="31"/>
      <c r="AJ57" s="81">
        <f t="shared" ref="AJ57" si="1">COUNTIFS(E57:AI58,"✓")/2</f>
        <v>8</v>
      </c>
    </row>
    <row r="58" spans="1:36">
      <c r="A58" s="90"/>
      <c r="B58" s="90"/>
      <c r="C58" s="90"/>
      <c r="D58" s="32" t="s">
        <v>20</v>
      </c>
      <c r="E58" s="31"/>
      <c r="F58" s="33"/>
      <c r="G58" s="33"/>
      <c r="H58" s="33"/>
      <c r="I58" s="33" t="s">
        <v>19</v>
      </c>
      <c r="J58" s="33" t="s">
        <v>19</v>
      </c>
      <c r="K58" s="33" t="s">
        <v>19</v>
      </c>
      <c r="L58" s="33" t="s">
        <v>19</v>
      </c>
      <c r="M58" s="33" t="s">
        <v>19</v>
      </c>
      <c r="N58" s="33"/>
      <c r="O58" s="33" t="s">
        <v>19</v>
      </c>
      <c r="P58" s="33" t="s">
        <v>19</v>
      </c>
      <c r="Q58" s="33" t="s">
        <v>19</v>
      </c>
      <c r="R58" s="31"/>
      <c r="S58" s="33"/>
      <c r="T58" s="33"/>
      <c r="U58" s="31"/>
      <c r="V58" s="31"/>
      <c r="W58" s="31"/>
      <c r="X58" s="33"/>
      <c r="Y58" s="33"/>
      <c r="Z58" s="31"/>
      <c r="AA58" s="33"/>
      <c r="AB58" s="33"/>
      <c r="AC58" s="31"/>
      <c r="AD58" s="33"/>
      <c r="AE58" s="33"/>
      <c r="AF58" s="33"/>
      <c r="AG58" s="33"/>
      <c r="AH58" s="31"/>
      <c r="AI58" s="31"/>
      <c r="AJ58" s="82"/>
    </row>
    <row r="59" spans="1:36">
      <c r="A59" s="89">
        <v>28</v>
      </c>
      <c r="B59" s="89" t="s">
        <v>132</v>
      </c>
      <c r="C59" s="89" t="s">
        <v>24</v>
      </c>
      <c r="D59" s="32" t="s">
        <v>18</v>
      </c>
      <c r="E59" s="31"/>
      <c r="F59" s="33"/>
      <c r="G59" s="31"/>
      <c r="H59" s="31"/>
      <c r="I59" s="33" t="s">
        <v>19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81">
        <f t="shared" ref="AJ59" si="2">COUNTIFS(E59:AI60,"✓")/2</f>
        <v>1</v>
      </c>
    </row>
    <row r="60" spans="1:36">
      <c r="A60" s="90"/>
      <c r="B60" s="90"/>
      <c r="C60" s="90"/>
      <c r="D60" s="32" t="s">
        <v>20</v>
      </c>
      <c r="E60" s="31"/>
      <c r="F60" s="33"/>
      <c r="G60" s="31"/>
      <c r="H60" s="31"/>
      <c r="I60" s="33" t="s">
        <v>19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82"/>
    </row>
    <row r="61" spans="1:36">
      <c r="A61" s="89">
        <v>29</v>
      </c>
      <c r="B61" s="89" t="s">
        <v>133</v>
      </c>
      <c r="C61" s="89" t="s">
        <v>117</v>
      </c>
      <c r="D61" s="32" t="s">
        <v>18</v>
      </c>
      <c r="E61" s="31"/>
      <c r="F61" s="33"/>
      <c r="G61" s="33"/>
      <c r="H61" s="31"/>
      <c r="I61" s="33"/>
      <c r="J61" s="33"/>
      <c r="K61" s="33" t="s">
        <v>19</v>
      </c>
      <c r="L61" s="31"/>
      <c r="M61" s="33"/>
      <c r="N61" s="33"/>
      <c r="O61" s="33"/>
      <c r="P61" s="33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81">
        <f t="shared" ref="AJ61" si="3">COUNTIFS(E61:AI62,"✓")/2</f>
        <v>1.5</v>
      </c>
    </row>
    <row r="62" spans="1:36">
      <c r="A62" s="90"/>
      <c r="B62" s="90"/>
      <c r="C62" s="90"/>
      <c r="D62" s="32" t="s">
        <v>20</v>
      </c>
      <c r="E62" s="31"/>
      <c r="F62" s="33"/>
      <c r="G62" s="33"/>
      <c r="H62" s="31"/>
      <c r="I62" s="33"/>
      <c r="J62" s="33" t="s">
        <v>19</v>
      </c>
      <c r="K62" s="33" t="s">
        <v>19</v>
      </c>
      <c r="L62" s="31"/>
      <c r="M62" s="33"/>
      <c r="N62" s="33"/>
      <c r="O62" s="33"/>
      <c r="P62" s="33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82"/>
    </row>
    <row r="63" spans="1:36">
      <c r="A63" s="89">
        <v>30</v>
      </c>
      <c r="B63" s="89" t="s">
        <v>134</v>
      </c>
      <c r="C63" s="89" t="s">
        <v>24</v>
      </c>
      <c r="D63" s="32" t="s">
        <v>18</v>
      </c>
      <c r="E63" s="31"/>
      <c r="F63" s="33"/>
      <c r="G63" s="33"/>
      <c r="H63" s="31"/>
      <c r="I63" s="33"/>
      <c r="J63" s="33"/>
      <c r="K63" s="33" t="s">
        <v>19</v>
      </c>
      <c r="L63" s="31"/>
      <c r="M63" s="33"/>
      <c r="N63" s="33"/>
      <c r="O63" s="33"/>
      <c r="P63" s="33"/>
      <c r="Q63" s="31"/>
      <c r="R63" s="33"/>
      <c r="S63" s="31"/>
      <c r="T63" s="33"/>
      <c r="U63" s="31"/>
      <c r="V63" s="33"/>
      <c r="W63" s="33"/>
      <c r="X63" s="33"/>
      <c r="Y63" s="31"/>
      <c r="Z63" s="31"/>
      <c r="AA63" s="33"/>
      <c r="AB63" s="33"/>
      <c r="AC63" s="33"/>
      <c r="AD63" s="31"/>
      <c r="AE63" s="31"/>
      <c r="AF63" s="33"/>
      <c r="AG63" s="33"/>
      <c r="AH63" s="31"/>
      <c r="AI63" s="31"/>
      <c r="AJ63" s="81">
        <f t="shared" ref="AJ63" si="4">COUNTIFS(E63:AI64,"✓")/2</f>
        <v>1.5</v>
      </c>
    </row>
    <row r="64" spans="1:36">
      <c r="A64" s="90"/>
      <c r="B64" s="90"/>
      <c r="C64" s="90"/>
      <c r="D64" s="32" t="s">
        <v>20</v>
      </c>
      <c r="E64" s="31"/>
      <c r="F64" s="33"/>
      <c r="G64" s="33"/>
      <c r="H64" s="31"/>
      <c r="I64" s="33"/>
      <c r="J64" s="33" t="s">
        <v>19</v>
      </c>
      <c r="K64" s="33" t="s">
        <v>19</v>
      </c>
      <c r="L64" s="31"/>
      <c r="M64" s="33"/>
      <c r="N64" s="33"/>
      <c r="O64" s="33"/>
      <c r="P64" s="33"/>
      <c r="Q64" s="31"/>
      <c r="R64" s="33"/>
      <c r="S64" s="31"/>
      <c r="T64" s="33"/>
      <c r="U64" s="31"/>
      <c r="V64" s="33"/>
      <c r="W64" s="33"/>
      <c r="X64" s="33"/>
      <c r="Y64" s="31"/>
      <c r="Z64" s="31"/>
      <c r="AA64" s="33"/>
      <c r="AB64" s="33"/>
      <c r="AC64" s="33"/>
      <c r="AD64" s="31"/>
      <c r="AE64" s="31"/>
      <c r="AF64" s="33"/>
      <c r="AG64" s="33"/>
      <c r="AH64" s="31"/>
      <c r="AI64" s="31"/>
      <c r="AJ64" s="82"/>
    </row>
    <row r="65" spans="1:36">
      <c r="A65" s="89">
        <v>31</v>
      </c>
      <c r="B65" s="89" t="s">
        <v>135</v>
      </c>
      <c r="C65" s="89" t="s">
        <v>142</v>
      </c>
      <c r="D65" s="32" t="s">
        <v>18</v>
      </c>
      <c r="E65" s="31"/>
      <c r="F65" s="33"/>
      <c r="G65" s="33"/>
      <c r="H65" s="31"/>
      <c r="I65" s="33"/>
      <c r="J65" s="33"/>
      <c r="K65" s="33" t="s">
        <v>19</v>
      </c>
      <c r="L65" s="33" t="s">
        <v>19</v>
      </c>
      <c r="M65" s="33" t="s">
        <v>19</v>
      </c>
      <c r="N65" s="33" t="s">
        <v>19</v>
      </c>
      <c r="O65" s="33" t="s">
        <v>19</v>
      </c>
      <c r="P65" s="31"/>
      <c r="Q65" s="33" t="s">
        <v>19</v>
      </c>
      <c r="R65" s="33" t="s">
        <v>19</v>
      </c>
      <c r="S65" s="33" t="s">
        <v>19</v>
      </c>
      <c r="T65" s="33" t="s">
        <v>19</v>
      </c>
      <c r="U65" s="33"/>
      <c r="V65" s="33"/>
      <c r="W65" s="33"/>
      <c r="X65" s="33"/>
      <c r="Y65" s="33"/>
      <c r="Z65" s="31"/>
      <c r="AA65" s="33"/>
      <c r="AB65" s="33"/>
      <c r="AC65" s="33"/>
      <c r="AD65" s="33"/>
      <c r="AE65" s="33"/>
      <c r="AF65" s="33"/>
      <c r="AG65" s="33"/>
      <c r="AH65" s="31"/>
      <c r="AI65" s="31"/>
      <c r="AJ65" s="81">
        <f t="shared" ref="AJ65:AJ119" si="5">COUNTIFS(E65:AI66,"✓")/2</f>
        <v>9</v>
      </c>
    </row>
    <row r="66" spans="1:36">
      <c r="A66" s="90"/>
      <c r="B66" s="90"/>
      <c r="C66" s="90"/>
      <c r="D66" s="32" t="s">
        <v>20</v>
      </c>
      <c r="E66" s="31"/>
      <c r="F66" s="33"/>
      <c r="G66" s="33"/>
      <c r="H66" s="31"/>
      <c r="I66" s="33"/>
      <c r="J66" s="33"/>
      <c r="K66" s="33" t="s">
        <v>19</v>
      </c>
      <c r="L66" s="33" t="s">
        <v>19</v>
      </c>
      <c r="M66" s="33" t="s">
        <v>19</v>
      </c>
      <c r="N66" s="33" t="s">
        <v>19</v>
      </c>
      <c r="O66" s="33" t="s">
        <v>19</v>
      </c>
      <c r="P66" s="31"/>
      <c r="Q66" s="33" t="s">
        <v>19</v>
      </c>
      <c r="R66" s="33" t="s">
        <v>19</v>
      </c>
      <c r="S66" s="33" t="s">
        <v>19</v>
      </c>
      <c r="T66" s="33" t="s">
        <v>19</v>
      </c>
      <c r="U66" s="33"/>
      <c r="V66" s="33"/>
      <c r="W66" s="33"/>
      <c r="X66" s="33"/>
      <c r="Y66" s="33"/>
      <c r="Z66" s="31"/>
      <c r="AA66" s="33"/>
      <c r="AB66" s="33"/>
      <c r="AC66" s="33"/>
      <c r="AD66" s="33"/>
      <c r="AE66" s="33"/>
      <c r="AF66" s="33"/>
      <c r="AG66" s="33"/>
      <c r="AH66" s="31"/>
      <c r="AI66" s="31"/>
      <c r="AJ66" s="82"/>
    </row>
    <row r="67" spans="1:36">
      <c r="A67" s="89">
        <v>32</v>
      </c>
      <c r="B67" s="89" t="s">
        <v>136</v>
      </c>
      <c r="C67" s="89" t="s">
        <v>24</v>
      </c>
      <c r="D67" s="32" t="s">
        <v>18</v>
      </c>
      <c r="E67" s="31"/>
      <c r="F67" s="33"/>
      <c r="G67" s="33"/>
      <c r="H67" s="31"/>
      <c r="I67" s="33"/>
      <c r="J67" s="33"/>
      <c r="K67" s="33" t="s">
        <v>19</v>
      </c>
      <c r="L67" s="33"/>
      <c r="M67" s="33"/>
      <c r="N67" s="33"/>
      <c r="O67" s="33"/>
      <c r="P67" s="33"/>
      <c r="Q67" s="31"/>
      <c r="R67" s="33"/>
      <c r="S67" s="33"/>
      <c r="T67" s="33"/>
      <c r="U67" s="33"/>
      <c r="V67" s="33"/>
      <c r="W67" s="33"/>
      <c r="X67" s="31"/>
      <c r="Y67" s="33"/>
      <c r="Z67" s="31"/>
      <c r="AA67" s="33"/>
      <c r="AB67" s="33"/>
      <c r="AC67" s="31"/>
      <c r="AD67" s="33"/>
      <c r="AE67" s="33"/>
      <c r="AF67" s="33"/>
      <c r="AG67" s="31"/>
      <c r="AH67" s="33"/>
      <c r="AI67" s="31"/>
      <c r="AJ67" s="81">
        <f t="shared" si="5"/>
        <v>1</v>
      </c>
    </row>
    <row r="68" spans="1:36">
      <c r="A68" s="90"/>
      <c r="B68" s="90"/>
      <c r="C68" s="90"/>
      <c r="D68" s="32" t="s">
        <v>20</v>
      </c>
      <c r="E68" s="31"/>
      <c r="F68" s="33"/>
      <c r="G68" s="33"/>
      <c r="H68" s="31"/>
      <c r="I68" s="33"/>
      <c r="J68" s="33"/>
      <c r="K68" s="33" t="s">
        <v>19</v>
      </c>
      <c r="L68" s="33"/>
      <c r="M68" s="33"/>
      <c r="N68" s="33"/>
      <c r="O68" s="33"/>
      <c r="P68" s="33"/>
      <c r="Q68" s="31"/>
      <c r="R68" s="33"/>
      <c r="S68" s="33"/>
      <c r="T68" s="33"/>
      <c r="U68" s="33"/>
      <c r="V68" s="33"/>
      <c r="W68" s="33"/>
      <c r="X68" s="31"/>
      <c r="Y68" s="33"/>
      <c r="Z68" s="31"/>
      <c r="AA68" s="33"/>
      <c r="AB68" s="33"/>
      <c r="AC68" s="31"/>
      <c r="AD68" s="33"/>
      <c r="AE68" s="33"/>
      <c r="AF68" s="33"/>
      <c r="AG68" s="31"/>
      <c r="AH68" s="31"/>
      <c r="AI68" s="31"/>
      <c r="AJ68" s="82"/>
    </row>
    <row r="69" spans="1:36">
      <c r="A69" s="89">
        <v>33</v>
      </c>
      <c r="B69" s="89" t="s">
        <v>82</v>
      </c>
      <c r="C69" s="89" t="s">
        <v>24</v>
      </c>
      <c r="D69" s="32" t="s">
        <v>18</v>
      </c>
      <c r="E69" s="31"/>
      <c r="F69" s="33"/>
      <c r="G69" s="31"/>
      <c r="H69" s="31"/>
      <c r="I69" s="33"/>
      <c r="J69" s="33"/>
      <c r="K69" s="33"/>
      <c r="L69" s="33" t="s">
        <v>19</v>
      </c>
      <c r="M69" s="33"/>
      <c r="N69" s="33"/>
      <c r="O69" s="33" t="s">
        <v>19</v>
      </c>
      <c r="P69" s="31"/>
      <c r="Q69" s="33"/>
      <c r="R69" s="31"/>
      <c r="S69" s="33"/>
      <c r="T69" s="33"/>
      <c r="U69" s="31"/>
      <c r="V69" s="33"/>
      <c r="W69" s="31"/>
      <c r="X69" s="31"/>
      <c r="Y69" s="33"/>
      <c r="Z69" s="31"/>
      <c r="AA69" s="31"/>
      <c r="AB69" s="31"/>
      <c r="AC69" s="33"/>
      <c r="AD69" s="33"/>
      <c r="AE69" s="33"/>
      <c r="AF69" s="31"/>
      <c r="AG69" s="33"/>
      <c r="AH69" s="31"/>
      <c r="AI69" s="31"/>
      <c r="AJ69" s="81">
        <f t="shared" si="5"/>
        <v>1.5</v>
      </c>
    </row>
    <row r="70" spans="1:36">
      <c r="A70" s="90"/>
      <c r="B70" s="90"/>
      <c r="C70" s="90"/>
      <c r="D70" s="32" t="s">
        <v>20</v>
      </c>
      <c r="E70" s="31"/>
      <c r="F70" s="33"/>
      <c r="G70" s="31"/>
      <c r="H70" s="31"/>
      <c r="I70" s="33"/>
      <c r="J70" s="33"/>
      <c r="K70" s="33"/>
      <c r="L70" s="33" t="s">
        <v>19</v>
      </c>
      <c r="M70" s="33"/>
      <c r="N70" s="33"/>
      <c r="O70" s="31"/>
      <c r="P70" s="31"/>
      <c r="Q70" s="33"/>
      <c r="R70" s="31"/>
      <c r="S70" s="33"/>
      <c r="T70" s="33"/>
      <c r="U70" s="31"/>
      <c r="V70" s="33"/>
      <c r="W70" s="31"/>
      <c r="X70" s="31"/>
      <c r="Y70" s="33"/>
      <c r="Z70" s="31"/>
      <c r="AA70" s="31"/>
      <c r="AB70" s="31"/>
      <c r="AC70" s="33"/>
      <c r="AD70" s="33"/>
      <c r="AE70" s="33"/>
      <c r="AF70" s="31"/>
      <c r="AG70" s="33"/>
      <c r="AH70" s="31"/>
      <c r="AI70" s="31"/>
      <c r="AJ70" s="82"/>
    </row>
    <row r="71" spans="1:36">
      <c r="A71" s="89">
        <v>34</v>
      </c>
      <c r="B71" s="89" t="s">
        <v>137</v>
      </c>
      <c r="C71" s="89" t="s">
        <v>24</v>
      </c>
      <c r="D71" s="32" t="s">
        <v>18</v>
      </c>
      <c r="E71" s="31"/>
      <c r="F71" s="33"/>
      <c r="G71" s="33"/>
      <c r="H71" s="31"/>
      <c r="I71" s="33"/>
      <c r="J71" s="33"/>
      <c r="K71" s="33"/>
      <c r="L71" s="33" t="s">
        <v>19</v>
      </c>
      <c r="M71" s="33"/>
      <c r="N71" s="33"/>
      <c r="O71" s="33"/>
      <c r="P71" s="31"/>
      <c r="Q71" s="33"/>
      <c r="R71" s="31"/>
      <c r="S71" s="33"/>
      <c r="T71" s="33"/>
      <c r="U71" s="33"/>
      <c r="V71" s="33"/>
      <c r="W71" s="31"/>
      <c r="X71" s="33"/>
      <c r="Y71" s="33"/>
      <c r="Z71" s="31"/>
      <c r="AA71" s="33"/>
      <c r="AB71" s="33"/>
      <c r="AC71" s="33"/>
      <c r="AD71" s="33"/>
      <c r="AE71" s="33"/>
      <c r="AF71" s="31"/>
      <c r="AG71" s="33"/>
      <c r="AH71" s="31"/>
      <c r="AI71" s="31"/>
      <c r="AJ71" s="81">
        <f t="shared" si="5"/>
        <v>1</v>
      </c>
    </row>
    <row r="72" spans="1:36">
      <c r="A72" s="90"/>
      <c r="B72" s="90"/>
      <c r="C72" s="90"/>
      <c r="D72" s="32" t="s">
        <v>20</v>
      </c>
      <c r="E72" s="31"/>
      <c r="F72" s="33"/>
      <c r="G72" s="33"/>
      <c r="H72" s="31"/>
      <c r="I72" s="33"/>
      <c r="J72" s="33"/>
      <c r="K72" s="33"/>
      <c r="L72" s="33" t="s">
        <v>19</v>
      </c>
      <c r="M72" s="33"/>
      <c r="N72" s="33"/>
      <c r="O72" s="33"/>
      <c r="P72" s="31"/>
      <c r="Q72" s="33"/>
      <c r="R72" s="31"/>
      <c r="S72" s="33"/>
      <c r="T72" s="33"/>
      <c r="U72" s="33"/>
      <c r="V72" s="33"/>
      <c r="W72" s="31"/>
      <c r="X72" s="33"/>
      <c r="Y72" s="33"/>
      <c r="Z72" s="31"/>
      <c r="AA72" s="33"/>
      <c r="AB72" s="33"/>
      <c r="AC72" s="33"/>
      <c r="AD72" s="33"/>
      <c r="AE72" s="33"/>
      <c r="AF72" s="31"/>
      <c r="AG72" s="33"/>
      <c r="AH72" s="31"/>
      <c r="AI72" s="31"/>
      <c r="AJ72" s="82"/>
    </row>
    <row r="73" spans="1:36">
      <c r="A73" s="89">
        <v>35</v>
      </c>
      <c r="B73" s="89" t="s">
        <v>138</v>
      </c>
      <c r="C73" s="89" t="s">
        <v>142</v>
      </c>
      <c r="D73" s="32" t="s">
        <v>18</v>
      </c>
      <c r="E73" s="31"/>
      <c r="F73" s="34"/>
      <c r="G73" s="31"/>
      <c r="H73" s="31"/>
      <c r="I73" s="31"/>
      <c r="J73" s="31"/>
      <c r="K73" s="33"/>
      <c r="L73" s="33"/>
      <c r="M73" s="33"/>
      <c r="N73" s="33" t="s">
        <v>19</v>
      </c>
      <c r="O73" s="33" t="s">
        <v>19</v>
      </c>
      <c r="P73" s="33" t="s">
        <v>19</v>
      </c>
      <c r="Q73" s="33" t="s">
        <v>19</v>
      </c>
      <c r="R73" s="33" t="s">
        <v>19</v>
      </c>
      <c r="S73" s="33" t="s">
        <v>19</v>
      </c>
      <c r="T73" s="33" t="s">
        <v>19</v>
      </c>
      <c r="U73" s="31"/>
      <c r="V73" s="33"/>
      <c r="W73" s="33"/>
      <c r="X73" s="33"/>
      <c r="Y73" s="31"/>
      <c r="Z73" s="31"/>
      <c r="AA73" s="33"/>
      <c r="AB73" s="33"/>
      <c r="AC73" s="33"/>
      <c r="AD73" s="33"/>
      <c r="AE73" s="31"/>
      <c r="AF73" s="33"/>
      <c r="AG73" s="33"/>
      <c r="AH73" s="33"/>
      <c r="AI73" s="31"/>
      <c r="AJ73" s="81">
        <f t="shared" si="5"/>
        <v>7.5</v>
      </c>
    </row>
    <row r="74" spans="1:36">
      <c r="A74" s="90"/>
      <c r="B74" s="90"/>
      <c r="C74" s="90"/>
      <c r="D74" s="32" t="s">
        <v>20</v>
      </c>
      <c r="E74" s="31"/>
      <c r="F74" s="34"/>
      <c r="G74" s="31"/>
      <c r="H74" s="31"/>
      <c r="I74" s="31"/>
      <c r="J74" s="31"/>
      <c r="K74" s="33"/>
      <c r="L74" s="33"/>
      <c r="M74" s="33" t="s">
        <v>19</v>
      </c>
      <c r="N74" s="33" t="s">
        <v>19</v>
      </c>
      <c r="O74" s="33" t="s">
        <v>19</v>
      </c>
      <c r="P74" s="33" t="s">
        <v>19</v>
      </c>
      <c r="Q74" s="33" t="s">
        <v>19</v>
      </c>
      <c r="R74" s="33" t="s">
        <v>19</v>
      </c>
      <c r="S74" s="33" t="s">
        <v>19</v>
      </c>
      <c r="T74" s="33" t="s">
        <v>19</v>
      </c>
      <c r="U74" s="31"/>
      <c r="V74" s="33"/>
      <c r="W74" s="33"/>
      <c r="X74" s="33"/>
      <c r="Y74" s="31"/>
      <c r="Z74" s="31"/>
      <c r="AA74" s="33"/>
      <c r="AB74" s="33"/>
      <c r="AC74" s="33"/>
      <c r="AD74" s="33"/>
      <c r="AE74" s="31"/>
      <c r="AF74" s="33"/>
      <c r="AG74" s="33"/>
      <c r="AH74" s="33"/>
      <c r="AI74" s="31"/>
      <c r="AJ74" s="82"/>
    </row>
    <row r="75" spans="1:36">
      <c r="A75" s="89">
        <v>36</v>
      </c>
      <c r="B75" s="89" t="s">
        <v>139</v>
      </c>
      <c r="C75" s="89" t="s">
        <v>24</v>
      </c>
      <c r="D75" s="32" t="s">
        <v>18</v>
      </c>
      <c r="E75" s="31"/>
      <c r="F75" s="34"/>
      <c r="G75" s="31"/>
      <c r="H75" s="31"/>
      <c r="I75" s="31"/>
      <c r="J75" s="31"/>
      <c r="K75" s="33"/>
      <c r="L75" s="33"/>
      <c r="M75" s="33" t="s">
        <v>19</v>
      </c>
      <c r="N75" s="33"/>
      <c r="O75" s="33"/>
      <c r="P75" s="31"/>
      <c r="Q75" s="31"/>
      <c r="R75" s="31"/>
      <c r="S75" s="33"/>
      <c r="T75" s="33"/>
      <c r="U75" s="31"/>
      <c r="V75" s="33"/>
      <c r="W75" s="33"/>
      <c r="X75" s="33"/>
      <c r="Y75" s="31"/>
      <c r="Z75" s="31"/>
      <c r="AA75" s="33"/>
      <c r="AB75" s="33"/>
      <c r="AC75" s="31"/>
      <c r="AD75" s="31"/>
      <c r="AE75" s="31"/>
      <c r="AF75" s="31"/>
      <c r="AG75" s="31"/>
      <c r="AH75" s="31"/>
      <c r="AI75" s="31"/>
      <c r="AJ75" s="81">
        <f t="shared" si="5"/>
        <v>1</v>
      </c>
    </row>
    <row r="76" spans="1:36">
      <c r="A76" s="90"/>
      <c r="B76" s="90"/>
      <c r="C76" s="90"/>
      <c r="D76" s="32" t="s">
        <v>20</v>
      </c>
      <c r="E76" s="31"/>
      <c r="F76" s="34"/>
      <c r="G76" s="31"/>
      <c r="H76" s="31"/>
      <c r="I76" s="31"/>
      <c r="J76" s="31"/>
      <c r="K76" s="33"/>
      <c r="L76" s="33"/>
      <c r="M76" s="33" t="s">
        <v>19</v>
      </c>
      <c r="N76" s="33"/>
      <c r="O76" s="33"/>
      <c r="P76" s="31"/>
      <c r="Q76" s="31"/>
      <c r="R76" s="31"/>
      <c r="S76" s="33"/>
      <c r="T76" s="33"/>
      <c r="U76" s="31"/>
      <c r="V76" s="33"/>
      <c r="W76" s="33"/>
      <c r="X76" s="33"/>
      <c r="Y76" s="31"/>
      <c r="Z76" s="31"/>
      <c r="AA76" s="33"/>
      <c r="AB76" s="31"/>
      <c r="AC76" s="31"/>
      <c r="AD76" s="31"/>
      <c r="AE76" s="31"/>
      <c r="AF76" s="31"/>
      <c r="AG76" s="31"/>
      <c r="AH76" s="31"/>
      <c r="AI76" s="31"/>
      <c r="AJ76" s="82"/>
    </row>
    <row r="77" spans="1:36">
      <c r="A77" s="89">
        <v>37</v>
      </c>
      <c r="B77" s="89" t="s">
        <v>140</v>
      </c>
      <c r="C77" s="89" t="s">
        <v>24</v>
      </c>
      <c r="D77" s="32" t="s">
        <v>18</v>
      </c>
      <c r="E77" s="31"/>
      <c r="F77" s="34"/>
      <c r="G77" s="31"/>
      <c r="H77" s="31"/>
      <c r="I77" s="31"/>
      <c r="J77" s="31"/>
      <c r="K77" s="33"/>
      <c r="L77" s="33"/>
      <c r="M77" s="33" t="s">
        <v>19</v>
      </c>
      <c r="N77" s="31"/>
      <c r="O77" s="31"/>
      <c r="P77" s="31"/>
      <c r="Q77" s="31"/>
      <c r="R77" s="31"/>
      <c r="S77" s="31"/>
      <c r="T77" s="33"/>
      <c r="U77" s="33"/>
      <c r="V77" s="33"/>
      <c r="W77" s="33"/>
      <c r="X77" s="33"/>
      <c r="Y77" s="33"/>
      <c r="Z77" s="31"/>
      <c r="AA77" s="33"/>
      <c r="AB77" s="33"/>
      <c r="AC77" s="33"/>
      <c r="AD77" s="33"/>
      <c r="AE77" s="33"/>
      <c r="AF77" s="33"/>
      <c r="AG77" s="33"/>
      <c r="AH77" s="33"/>
      <c r="AI77" s="31"/>
      <c r="AJ77" s="81">
        <f t="shared" si="5"/>
        <v>1</v>
      </c>
    </row>
    <row r="78" spans="1:36">
      <c r="A78" s="90"/>
      <c r="B78" s="90"/>
      <c r="C78" s="90"/>
      <c r="D78" s="32" t="s">
        <v>20</v>
      </c>
      <c r="E78" s="31"/>
      <c r="F78" s="34"/>
      <c r="G78" s="31"/>
      <c r="H78" s="31"/>
      <c r="I78" s="31"/>
      <c r="J78" s="31"/>
      <c r="K78" s="33"/>
      <c r="L78" s="33"/>
      <c r="M78" s="33" t="s">
        <v>19</v>
      </c>
      <c r="N78" s="31"/>
      <c r="O78" s="31"/>
      <c r="P78" s="31"/>
      <c r="Q78" s="31"/>
      <c r="R78" s="31"/>
      <c r="S78" s="31"/>
      <c r="T78" s="33"/>
      <c r="U78" s="33"/>
      <c r="V78" s="33"/>
      <c r="W78" s="33"/>
      <c r="X78" s="33"/>
      <c r="Y78" s="33"/>
      <c r="Z78" s="31"/>
      <c r="AA78" s="33"/>
      <c r="AB78" s="33"/>
      <c r="AC78" s="33"/>
      <c r="AD78" s="33"/>
      <c r="AE78" s="33"/>
      <c r="AF78" s="33"/>
      <c r="AG78" s="33"/>
      <c r="AH78" s="33"/>
      <c r="AI78" s="31"/>
      <c r="AJ78" s="82"/>
    </row>
    <row r="79" spans="1:36">
      <c r="A79" s="89">
        <v>38</v>
      </c>
      <c r="B79" s="89" t="s">
        <v>141</v>
      </c>
      <c r="C79" s="89" t="s">
        <v>142</v>
      </c>
      <c r="D79" s="32" t="s">
        <v>18</v>
      </c>
      <c r="E79" s="31"/>
      <c r="F79" s="34"/>
      <c r="G79" s="31"/>
      <c r="H79" s="31"/>
      <c r="I79" s="33"/>
      <c r="J79" s="33"/>
      <c r="K79" s="33"/>
      <c r="L79" s="31"/>
      <c r="M79" s="31"/>
      <c r="N79" s="31"/>
      <c r="O79" s="33" t="s">
        <v>19</v>
      </c>
      <c r="P79" s="33"/>
      <c r="Q79" s="33"/>
      <c r="R79" s="33"/>
      <c r="S79" s="33"/>
      <c r="T79" s="31"/>
      <c r="U79" s="33"/>
      <c r="V79" s="33"/>
      <c r="W79" s="33"/>
      <c r="X79" s="33"/>
      <c r="Y79" s="33"/>
      <c r="Z79" s="31"/>
      <c r="AA79" s="31"/>
      <c r="AB79" s="33"/>
      <c r="AC79" s="33"/>
      <c r="AD79" s="33"/>
      <c r="AE79" s="33"/>
      <c r="AF79" s="33"/>
      <c r="AG79" s="33"/>
      <c r="AH79" s="33"/>
      <c r="AI79" s="31"/>
      <c r="AJ79" s="81">
        <f t="shared" si="5"/>
        <v>1</v>
      </c>
    </row>
    <row r="80" spans="1:36">
      <c r="A80" s="90"/>
      <c r="B80" s="90"/>
      <c r="C80" s="90"/>
      <c r="D80" s="32" t="s">
        <v>20</v>
      </c>
      <c r="E80" s="31"/>
      <c r="F80" s="34"/>
      <c r="G80" s="31"/>
      <c r="H80" s="31"/>
      <c r="I80" s="33"/>
      <c r="J80" s="33"/>
      <c r="K80" s="33"/>
      <c r="L80" s="31"/>
      <c r="M80" s="31"/>
      <c r="N80" s="31"/>
      <c r="O80" s="33" t="s">
        <v>19</v>
      </c>
      <c r="P80" s="33"/>
      <c r="Q80" s="33"/>
      <c r="R80" s="33"/>
      <c r="S80" s="33"/>
      <c r="T80" s="31"/>
      <c r="U80" s="33"/>
      <c r="V80" s="33"/>
      <c r="W80" s="33"/>
      <c r="X80" s="33"/>
      <c r="Y80" s="33"/>
      <c r="Z80" s="31"/>
      <c r="AA80" s="31"/>
      <c r="AB80" s="33"/>
      <c r="AC80" s="33"/>
      <c r="AD80" s="33"/>
      <c r="AE80" s="33"/>
      <c r="AF80" s="33"/>
      <c r="AG80" s="33"/>
      <c r="AH80" s="33"/>
      <c r="AI80" s="31"/>
      <c r="AJ80" s="82"/>
    </row>
    <row r="81" spans="1:36">
      <c r="A81" s="89">
        <v>39</v>
      </c>
      <c r="B81" s="89" t="s">
        <v>143</v>
      </c>
      <c r="C81" s="89" t="s">
        <v>142</v>
      </c>
      <c r="D81" s="32" t="s">
        <v>18</v>
      </c>
      <c r="E81" s="31"/>
      <c r="F81" s="34"/>
      <c r="G81" s="33"/>
      <c r="H81" s="31"/>
      <c r="I81" s="33"/>
      <c r="J81" s="33"/>
      <c r="K81" s="33"/>
      <c r="L81" s="31"/>
      <c r="M81" s="31"/>
      <c r="N81" s="31"/>
      <c r="O81" s="33" t="s">
        <v>19</v>
      </c>
      <c r="P81" s="33"/>
      <c r="Q81" s="33"/>
      <c r="R81" s="33"/>
      <c r="S81" s="33"/>
      <c r="T81" s="31"/>
      <c r="U81" s="33"/>
      <c r="V81" s="33"/>
      <c r="W81" s="33"/>
      <c r="X81" s="33"/>
      <c r="Y81" s="33"/>
      <c r="Z81" s="31"/>
      <c r="AA81" s="33"/>
      <c r="AB81" s="33"/>
      <c r="AC81" s="33"/>
      <c r="AD81" s="33"/>
      <c r="AE81" s="33"/>
      <c r="AF81" s="33"/>
      <c r="AG81" s="33"/>
      <c r="AH81" s="33"/>
      <c r="AI81" s="31"/>
      <c r="AJ81" s="81">
        <f t="shared" si="5"/>
        <v>0.5</v>
      </c>
    </row>
    <row r="82" spans="1:36">
      <c r="A82" s="90"/>
      <c r="B82" s="90"/>
      <c r="C82" s="90"/>
      <c r="D82" s="32" t="s">
        <v>20</v>
      </c>
      <c r="E82" s="31"/>
      <c r="F82" s="34"/>
      <c r="G82" s="33"/>
      <c r="H82" s="31"/>
      <c r="I82" s="33"/>
      <c r="J82" s="33"/>
      <c r="K82" s="33"/>
      <c r="L82" s="31"/>
      <c r="M82" s="31"/>
      <c r="N82" s="31"/>
      <c r="O82" s="33"/>
      <c r="P82" s="33"/>
      <c r="Q82" s="33"/>
      <c r="R82" s="33"/>
      <c r="S82" s="33"/>
      <c r="T82" s="31"/>
      <c r="U82" s="33"/>
      <c r="V82" s="33"/>
      <c r="W82" s="33"/>
      <c r="X82" s="33"/>
      <c r="Y82" s="33"/>
      <c r="Z82" s="31"/>
      <c r="AA82" s="33"/>
      <c r="AB82" s="33"/>
      <c r="AC82" s="33"/>
      <c r="AD82" s="33"/>
      <c r="AE82" s="33"/>
      <c r="AF82" s="33"/>
      <c r="AG82" s="33"/>
      <c r="AH82" s="33"/>
      <c r="AI82" s="31"/>
      <c r="AJ82" s="82"/>
    </row>
    <row r="83" spans="1:36">
      <c r="A83" s="89">
        <v>40</v>
      </c>
      <c r="B83" s="89" t="s">
        <v>144</v>
      </c>
      <c r="C83" s="89" t="s">
        <v>24</v>
      </c>
      <c r="D83" s="32" t="s">
        <v>18</v>
      </c>
      <c r="E83" s="31"/>
      <c r="F83" s="34"/>
      <c r="G83" s="31"/>
      <c r="H83" s="31"/>
      <c r="I83" s="31"/>
      <c r="J83" s="31"/>
      <c r="K83" s="31"/>
      <c r="L83" s="31"/>
      <c r="M83" s="31"/>
      <c r="N83" s="31"/>
      <c r="O83" s="33"/>
      <c r="P83" s="33" t="s">
        <v>19</v>
      </c>
      <c r="Q83" s="33"/>
      <c r="R83" s="33" t="s">
        <v>19</v>
      </c>
      <c r="S83" s="33"/>
      <c r="T83" s="33"/>
      <c r="U83" s="31"/>
      <c r="V83" s="33"/>
      <c r="W83" s="33"/>
      <c r="X83" s="33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81">
        <f t="shared" si="5"/>
        <v>2</v>
      </c>
    </row>
    <row r="84" spans="1:36">
      <c r="A84" s="90"/>
      <c r="B84" s="90"/>
      <c r="C84" s="90"/>
      <c r="D84" s="32" t="s">
        <v>20</v>
      </c>
      <c r="E84" s="31"/>
      <c r="F84" s="34"/>
      <c r="G84" s="31"/>
      <c r="H84" s="31"/>
      <c r="I84" s="31"/>
      <c r="J84" s="31"/>
      <c r="K84" s="31"/>
      <c r="L84" s="31"/>
      <c r="M84" s="31"/>
      <c r="N84" s="31"/>
      <c r="O84" s="33"/>
      <c r="P84" s="33" t="s">
        <v>19</v>
      </c>
      <c r="Q84" s="33"/>
      <c r="R84" s="33" t="s">
        <v>19</v>
      </c>
      <c r="S84" s="33"/>
      <c r="T84" s="33"/>
      <c r="U84" s="31"/>
      <c r="V84" s="33"/>
      <c r="W84" s="33"/>
      <c r="X84" s="33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82"/>
    </row>
    <row r="85" spans="1:36">
      <c r="A85" s="89">
        <v>41</v>
      </c>
      <c r="B85" s="89" t="s">
        <v>145</v>
      </c>
      <c r="C85" s="89" t="s">
        <v>24</v>
      </c>
      <c r="D85" s="32" t="s">
        <v>18</v>
      </c>
      <c r="E85" s="31"/>
      <c r="F85" s="34"/>
      <c r="G85" s="31"/>
      <c r="H85" s="31"/>
      <c r="I85" s="31"/>
      <c r="J85" s="31"/>
      <c r="K85" s="31"/>
      <c r="L85" s="31"/>
      <c r="M85" s="31"/>
      <c r="N85" s="31"/>
      <c r="O85" s="34"/>
      <c r="P85" s="34"/>
      <c r="Q85" s="33" t="s">
        <v>19</v>
      </c>
      <c r="R85" s="34"/>
      <c r="S85" s="34"/>
      <c r="T85" s="34"/>
      <c r="U85" s="31"/>
      <c r="V85" s="33"/>
      <c r="W85" s="33"/>
      <c r="X85" s="33"/>
      <c r="Y85" s="31"/>
      <c r="Z85" s="31"/>
      <c r="AA85" s="33"/>
      <c r="AB85" s="33"/>
      <c r="AC85" s="31"/>
      <c r="AD85" s="31"/>
      <c r="AE85" s="31"/>
      <c r="AF85" s="31"/>
      <c r="AG85" s="31"/>
      <c r="AH85" s="31"/>
      <c r="AI85" s="31"/>
      <c r="AJ85" s="81">
        <f t="shared" si="5"/>
        <v>1</v>
      </c>
    </row>
    <row r="86" spans="1:36">
      <c r="A86" s="90"/>
      <c r="B86" s="90"/>
      <c r="C86" s="90"/>
      <c r="D86" s="32" t="s">
        <v>20</v>
      </c>
      <c r="E86" s="31"/>
      <c r="F86" s="34"/>
      <c r="G86" s="31"/>
      <c r="H86" s="31"/>
      <c r="I86" s="31"/>
      <c r="J86" s="31"/>
      <c r="K86" s="31"/>
      <c r="L86" s="31"/>
      <c r="M86" s="31"/>
      <c r="N86" s="31"/>
      <c r="O86" s="34"/>
      <c r="P86" s="34"/>
      <c r="Q86" s="33" t="s">
        <v>19</v>
      </c>
      <c r="R86" s="34"/>
      <c r="S86" s="34"/>
      <c r="T86" s="34"/>
      <c r="U86" s="31"/>
      <c r="V86" s="33"/>
      <c r="W86" s="33"/>
      <c r="X86" s="33"/>
      <c r="Y86" s="31"/>
      <c r="Z86" s="31"/>
      <c r="AA86" s="33"/>
      <c r="AB86" s="31"/>
      <c r="AC86" s="31"/>
      <c r="AD86" s="31"/>
      <c r="AE86" s="31"/>
      <c r="AF86" s="31"/>
      <c r="AG86" s="31"/>
      <c r="AH86" s="31"/>
      <c r="AI86" s="31"/>
      <c r="AJ86" s="82"/>
    </row>
    <row r="87" spans="1:36">
      <c r="A87" s="89">
        <v>42</v>
      </c>
      <c r="B87" s="89" t="s">
        <v>146</v>
      </c>
      <c r="C87" s="89" t="s">
        <v>24</v>
      </c>
      <c r="D87" s="32" t="s">
        <v>18</v>
      </c>
      <c r="E87" s="31"/>
      <c r="F87" s="34"/>
      <c r="G87" s="31"/>
      <c r="H87" s="31"/>
      <c r="I87" s="31"/>
      <c r="J87" s="31"/>
      <c r="K87" s="31"/>
      <c r="L87" s="31"/>
      <c r="M87" s="31"/>
      <c r="N87" s="31"/>
      <c r="O87" s="34"/>
      <c r="P87" s="34"/>
      <c r="Q87" s="33" t="s">
        <v>19</v>
      </c>
      <c r="R87" s="33" t="s">
        <v>19</v>
      </c>
      <c r="S87" s="34"/>
      <c r="T87" s="33" t="s">
        <v>19</v>
      </c>
      <c r="U87" s="31"/>
      <c r="V87" s="33"/>
      <c r="W87" s="33"/>
      <c r="X87" s="33"/>
      <c r="Y87" s="31"/>
      <c r="Z87" s="31"/>
      <c r="AA87" s="33"/>
      <c r="AB87" s="33"/>
      <c r="AC87" s="31"/>
      <c r="AD87" s="31"/>
      <c r="AE87" s="31"/>
      <c r="AF87" s="31"/>
      <c r="AG87" s="31"/>
      <c r="AH87" s="31"/>
      <c r="AI87" s="31"/>
      <c r="AJ87" s="81">
        <f t="shared" si="5"/>
        <v>3</v>
      </c>
    </row>
    <row r="88" spans="1:36">
      <c r="A88" s="90"/>
      <c r="B88" s="90"/>
      <c r="C88" s="90"/>
      <c r="D88" s="32" t="s">
        <v>20</v>
      </c>
      <c r="E88" s="31"/>
      <c r="F88" s="34"/>
      <c r="G88" s="31"/>
      <c r="H88" s="31"/>
      <c r="I88" s="31"/>
      <c r="J88" s="31"/>
      <c r="K88" s="31"/>
      <c r="L88" s="31"/>
      <c r="M88" s="31"/>
      <c r="N88" s="31"/>
      <c r="O88" s="34"/>
      <c r="P88" s="34"/>
      <c r="Q88" s="33" t="s">
        <v>19</v>
      </c>
      <c r="R88" s="33" t="s">
        <v>19</v>
      </c>
      <c r="S88" s="34"/>
      <c r="T88" s="33" t="s">
        <v>19</v>
      </c>
      <c r="U88" s="31"/>
      <c r="V88" s="33"/>
      <c r="W88" s="33"/>
      <c r="X88" s="33"/>
      <c r="Y88" s="31"/>
      <c r="Z88" s="31"/>
      <c r="AA88" s="33"/>
      <c r="AB88" s="31"/>
      <c r="AC88" s="31"/>
      <c r="AD88" s="31"/>
      <c r="AE88" s="31"/>
      <c r="AF88" s="31"/>
      <c r="AG88" s="31"/>
      <c r="AH88" s="31"/>
      <c r="AI88" s="31"/>
      <c r="AJ88" s="82"/>
    </row>
    <row r="89" spans="1:36">
      <c r="A89" s="89">
        <v>43</v>
      </c>
      <c r="B89" s="89" t="s">
        <v>147</v>
      </c>
      <c r="C89" s="89" t="s">
        <v>24</v>
      </c>
      <c r="D89" s="32" t="s">
        <v>18</v>
      </c>
      <c r="E89" s="31"/>
      <c r="F89" s="34"/>
      <c r="G89" s="31"/>
      <c r="H89" s="31"/>
      <c r="I89" s="33"/>
      <c r="J89" s="33"/>
      <c r="K89" s="33"/>
      <c r="L89" s="33"/>
      <c r="M89" s="31"/>
      <c r="N89" s="33"/>
      <c r="O89" s="33"/>
      <c r="P89" s="33"/>
      <c r="Q89" s="33"/>
      <c r="R89" s="33"/>
      <c r="S89" s="33"/>
      <c r="T89" s="34"/>
      <c r="U89" s="31"/>
      <c r="V89" s="34"/>
      <c r="W89" s="34"/>
      <c r="X89" s="34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81">
        <f t="shared" si="5"/>
        <v>0.5</v>
      </c>
    </row>
    <row r="90" spans="1:36">
      <c r="A90" s="90"/>
      <c r="B90" s="90"/>
      <c r="C90" s="90"/>
      <c r="D90" s="32" t="s">
        <v>20</v>
      </c>
      <c r="E90" s="31"/>
      <c r="F90" s="34"/>
      <c r="G90" s="31"/>
      <c r="H90" s="31"/>
      <c r="I90" s="33"/>
      <c r="J90" s="33"/>
      <c r="K90" s="33"/>
      <c r="L90" s="33"/>
      <c r="M90" s="31"/>
      <c r="N90" s="33"/>
      <c r="O90" s="33"/>
      <c r="P90" s="33"/>
      <c r="Q90" s="33" t="s">
        <v>19</v>
      </c>
      <c r="R90" s="33"/>
      <c r="S90" s="33"/>
      <c r="T90" s="34"/>
      <c r="U90" s="31"/>
      <c r="V90" s="34"/>
      <c r="W90" s="34"/>
      <c r="X90" s="34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82"/>
    </row>
    <row r="91" spans="1:36">
      <c r="A91" s="89">
        <v>44</v>
      </c>
      <c r="B91" s="89" t="s">
        <v>148</v>
      </c>
      <c r="C91" s="89" t="s">
        <v>24</v>
      </c>
      <c r="D91" s="32" t="s">
        <v>18</v>
      </c>
      <c r="E91" s="31"/>
      <c r="F91" s="34"/>
      <c r="G91" s="33"/>
      <c r="H91" s="31"/>
      <c r="I91" s="31"/>
      <c r="J91" s="31"/>
      <c r="K91" s="33"/>
      <c r="L91" s="31"/>
      <c r="M91" s="31"/>
      <c r="N91" s="31"/>
      <c r="O91" s="34"/>
      <c r="P91" s="34"/>
      <c r="Q91" s="34"/>
      <c r="R91" s="34"/>
      <c r="S91" s="34"/>
      <c r="T91" s="33" t="s">
        <v>19</v>
      </c>
      <c r="U91" s="31"/>
      <c r="V91" s="34"/>
      <c r="W91" s="34"/>
      <c r="X91" s="34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81">
        <f t="shared" si="5"/>
        <v>1</v>
      </c>
    </row>
    <row r="92" spans="1:36">
      <c r="A92" s="90"/>
      <c r="B92" s="90"/>
      <c r="C92" s="90"/>
      <c r="D92" s="32" t="s">
        <v>20</v>
      </c>
      <c r="E92" s="31"/>
      <c r="F92" s="34"/>
      <c r="G92" s="33"/>
      <c r="H92" s="31"/>
      <c r="I92" s="31"/>
      <c r="J92" s="31"/>
      <c r="K92" s="33"/>
      <c r="L92" s="31"/>
      <c r="M92" s="31"/>
      <c r="N92" s="31"/>
      <c r="O92" s="34"/>
      <c r="P92" s="34"/>
      <c r="Q92" s="34"/>
      <c r="R92" s="34"/>
      <c r="S92" s="34"/>
      <c r="T92" s="33" t="s">
        <v>19</v>
      </c>
      <c r="U92" s="31"/>
      <c r="V92" s="34"/>
      <c r="W92" s="34"/>
      <c r="X92" s="34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2"/>
    </row>
    <row r="93" spans="1:36">
      <c r="A93" s="89">
        <v>45</v>
      </c>
      <c r="B93" s="89" t="s">
        <v>149</v>
      </c>
      <c r="C93" s="89" t="s">
        <v>24</v>
      </c>
      <c r="D93" s="32" t="s">
        <v>18</v>
      </c>
      <c r="E93" s="31"/>
      <c r="F93" s="34"/>
      <c r="G93" s="33"/>
      <c r="H93" s="31"/>
      <c r="I93" s="31"/>
      <c r="J93" s="33"/>
      <c r="K93" s="31"/>
      <c r="L93" s="33"/>
      <c r="M93" s="33"/>
      <c r="N93" s="31"/>
      <c r="O93" s="34"/>
      <c r="P93" s="34"/>
      <c r="Q93" s="34"/>
      <c r="R93" s="34"/>
      <c r="S93" s="34"/>
      <c r="T93" s="33" t="s">
        <v>19</v>
      </c>
      <c r="U93" s="31"/>
      <c r="V93" s="34"/>
      <c r="W93" s="34"/>
      <c r="X93" s="34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1">
        <f t="shared" si="5"/>
        <v>1</v>
      </c>
    </row>
    <row r="94" spans="1:36">
      <c r="A94" s="90"/>
      <c r="B94" s="90"/>
      <c r="C94" s="90"/>
      <c r="D94" s="32" t="s">
        <v>20</v>
      </c>
      <c r="E94" s="31"/>
      <c r="F94" s="34"/>
      <c r="G94" s="33"/>
      <c r="H94" s="31"/>
      <c r="I94" s="31"/>
      <c r="J94" s="33"/>
      <c r="K94" s="31"/>
      <c r="L94" s="31"/>
      <c r="M94" s="31"/>
      <c r="N94" s="31"/>
      <c r="O94" s="34"/>
      <c r="P94" s="34"/>
      <c r="Q94" s="34"/>
      <c r="R94" s="34"/>
      <c r="S94" s="34"/>
      <c r="T94" s="33" t="s">
        <v>19</v>
      </c>
      <c r="U94" s="31"/>
      <c r="V94" s="34"/>
      <c r="W94" s="34"/>
      <c r="X94" s="34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82"/>
    </row>
    <row r="95" spans="1:36">
      <c r="A95" s="89">
        <v>46</v>
      </c>
      <c r="B95" s="89"/>
      <c r="C95" s="89" t="s">
        <v>24</v>
      </c>
      <c r="D95" s="32" t="s">
        <v>18</v>
      </c>
      <c r="E95" s="31"/>
      <c r="F95" s="34"/>
      <c r="G95" s="33"/>
      <c r="H95" s="31"/>
      <c r="I95" s="31"/>
      <c r="J95" s="33"/>
      <c r="K95" s="31"/>
      <c r="L95" s="33"/>
      <c r="M95" s="33"/>
      <c r="N95" s="33"/>
      <c r="O95" s="33"/>
      <c r="P95" s="34"/>
      <c r="Q95" s="34"/>
      <c r="R95" s="34"/>
      <c r="S95" s="34"/>
      <c r="T95" s="33"/>
      <c r="U95" s="31"/>
      <c r="V95" s="34"/>
      <c r="W95" s="34"/>
      <c r="X95" s="34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81">
        <f t="shared" si="5"/>
        <v>0</v>
      </c>
    </row>
    <row r="96" spans="1:36">
      <c r="A96" s="90"/>
      <c r="B96" s="90"/>
      <c r="C96" s="90"/>
      <c r="D96" s="32" t="s">
        <v>20</v>
      </c>
      <c r="E96" s="31"/>
      <c r="F96" s="34"/>
      <c r="G96" s="33"/>
      <c r="H96" s="31"/>
      <c r="I96" s="31"/>
      <c r="J96" s="33"/>
      <c r="K96" s="31"/>
      <c r="L96" s="33"/>
      <c r="M96" s="33"/>
      <c r="N96" s="33"/>
      <c r="O96" s="33"/>
      <c r="P96" s="34"/>
      <c r="Q96" s="34"/>
      <c r="R96" s="34"/>
      <c r="S96" s="34"/>
      <c r="T96" s="33"/>
      <c r="U96" s="31"/>
      <c r="V96" s="34"/>
      <c r="W96" s="34"/>
      <c r="X96" s="34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82"/>
    </row>
    <row r="97" spans="1:36">
      <c r="A97" s="89">
        <v>47</v>
      </c>
      <c r="B97" s="89"/>
      <c r="C97" s="89" t="s">
        <v>24</v>
      </c>
      <c r="D97" s="32" t="s">
        <v>18</v>
      </c>
      <c r="E97" s="31"/>
      <c r="F97" s="34"/>
      <c r="G97" s="33"/>
      <c r="H97" s="31"/>
      <c r="I97" s="31"/>
      <c r="J97" s="31"/>
      <c r="K97" s="33"/>
      <c r="L97" s="31"/>
      <c r="M97" s="33"/>
      <c r="N97" s="33"/>
      <c r="O97" s="33"/>
      <c r="P97" s="34"/>
      <c r="Q97" s="34"/>
      <c r="R97" s="34"/>
      <c r="S97" s="34"/>
      <c r="T97" s="34"/>
      <c r="U97" s="31"/>
      <c r="V97" s="34"/>
      <c r="W97" s="34"/>
      <c r="X97" s="34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81">
        <f t="shared" si="5"/>
        <v>0</v>
      </c>
    </row>
    <row r="98" spans="1:36">
      <c r="A98" s="90"/>
      <c r="B98" s="90"/>
      <c r="C98" s="90"/>
      <c r="D98" s="32" t="s">
        <v>20</v>
      </c>
      <c r="E98" s="31"/>
      <c r="F98" s="34"/>
      <c r="G98" s="33"/>
      <c r="H98" s="31"/>
      <c r="I98" s="31"/>
      <c r="J98" s="31"/>
      <c r="K98" s="33"/>
      <c r="L98" s="31"/>
      <c r="M98" s="33"/>
      <c r="N98" s="33"/>
      <c r="O98" s="33"/>
      <c r="P98" s="34"/>
      <c r="Q98" s="34"/>
      <c r="R98" s="34"/>
      <c r="S98" s="34"/>
      <c r="T98" s="34"/>
      <c r="U98" s="31"/>
      <c r="V98" s="34"/>
      <c r="W98" s="34"/>
      <c r="X98" s="34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82"/>
    </row>
    <row r="99" spans="1:36">
      <c r="A99" s="89">
        <v>48</v>
      </c>
      <c r="B99" s="89"/>
      <c r="C99" s="89" t="s">
        <v>24</v>
      </c>
      <c r="D99" s="32" t="s">
        <v>18</v>
      </c>
      <c r="E99" s="31"/>
      <c r="F99" s="34"/>
      <c r="G99" s="33"/>
      <c r="H99" s="31"/>
      <c r="I99" s="31"/>
      <c r="J99" s="31"/>
      <c r="K99" s="31"/>
      <c r="L99" s="33"/>
      <c r="M99" s="31"/>
      <c r="N99" s="31"/>
      <c r="O99" s="34"/>
      <c r="P99" s="34"/>
      <c r="Q99" s="34"/>
      <c r="R99" s="34"/>
      <c r="S99" s="34"/>
      <c r="T99" s="34"/>
      <c r="U99" s="31"/>
      <c r="V99" s="34"/>
      <c r="W99" s="34"/>
      <c r="X99" s="34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81">
        <f t="shared" si="5"/>
        <v>0</v>
      </c>
    </row>
    <row r="100" spans="1:36">
      <c r="A100" s="90"/>
      <c r="B100" s="90"/>
      <c r="C100" s="90"/>
      <c r="D100" s="32" t="s">
        <v>20</v>
      </c>
      <c r="E100" s="31"/>
      <c r="F100" s="34"/>
      <c r="G100" s="33"/>
      <c r="H100" s="31"/>
      <c r="I100" s="31"/>
      <c r="J100" s="31"/>
      <c r="K100" s="31"/>
      <c r="L100" s="33"/>
      <c r="M100" s="31"/>
      <c r="N100" s="31"/>
      <c r="O100" s="34"/>
      <c r="P100" s="34"/>
      <c r="Q100" s="34"/>
      <c r="R100" s="34"/>
      <c r="S100" s="34"/>
      <c r="T100" s="34"/>
      <c r="U100" s="31"/>
      <c r="V100" s="34"/>
      <c r="W100" s="34"/>
      <c r="X100" s="34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82"/>
    </row>
    <row r="101" spans="1:36">
      <c r="A101" s="89">
        <v>49</v>
      </c>
      <c r="B101" s="89"/>
      <c r="C101" s="89" t="s">
        <v>24</v>
      </c>
      <c r="D101" s="32" t="s">
        <v>18</v>
      </c>
      <c r="E101" s="31"/>
      <c r="F101" s="34"/>
      <c r="G101" s="33"/>
      <c r="H101" s="31"/>
      <c r="I101" s="31"/>
      <c r="J101" s="31"/>
      <c r="K101" s="31"/>
      <c r="L101" s="33"/>
      <c r="M101" s="31"/>
      <c r="N101" s="31"/>
      <c r="O101" s="34"/>
      <c r="P101" s="34"/>
      <c r="Q101" s="34"/>
      <c r="R101" s="34"/>
      <c r="S101" s="34"/>
      <c r="T101" s="34"/>
      <c r="U101" s="31"/>
      <c r="V101" s="34"/>
      <c r="W101" s="34"/>
      <c r="X101" s="34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81">
        <f t="shared" si="5"/>
        <v>0</v>
      </c>
    </row>
    <row r="102" spans="1:36">
      <c r="A102" s="90"/>
      <c r="B102" s="90"/>
      <c r="C102" s="90"/>
      <c r="D102" s="32" t="s">
        <v>20</v>
      </c>
      <c r="E102" s="31"/>
      <c r="F102" s="34"/>
      <c r="G102" s="33"/>
      <c r="H102" s="31"/>
      <c r="I102" s="31"/>
      <c r="J102" s="31"/>
      <c r="K102" s="31"/>
      <c r="L102" s="33"/>
      <c r="M102" s="31"/>
      <c r="N102" s="31"/>
      <c r="O102" s="34"/>
      <c r="P102" s="34"/>
      <c r="Q102" s="34"/>
      <c r="R102" s="34"/>
      <c r="S102" s="34"/>
      <c r="T102" s="34"/>
      <c r="U102" s="31"/>
      <c r="V102" s="34"/>
      <c r="W102" s="34"/>
      <c r="X102" s="34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82"/>
    </row>
    <row r="103" spans="1:36">
      <c r="A103" s="89">
        <v>50</v>
      </c>
      <c r="B103" s="89"/>
      <c r="C103" s="89" t="s">
        <v>24</v>
      </c>
      <c r="D103" s="32" t="s">
        <v>18</v>
      </c>
      <c r="E103" s="31"/>
      <c r="F103" s="34"/>
      <c r="G103" s="33"/>
      <c r="H103" s="31"/>
      <c r="I103" s="31"/>
      <c r="J103" s="31"/>
      <c r="K103" s="31"/>
      <c r="L103" s="33"/>
      <c r="M103" s="31"/>
      <c r="N103" s="31"/>
      <c r="O103" s="34"/>
      <c r="P103" s="34"/>
      <c r="Q103" s="34"/>
      <c r="R103" s="34"/>
      <c r="S103" s="34"/>
      <c r="T103" s="34"/>
      <c r="U103" s="31"/>
      <c r="V103" s="34"/>
      <c r="W103" s="34"/>
      <c r="X103" s="34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81">
        <f t="shared" si="5"/>
        <v>0</v>
      </c>
    </row>
    <row r="104" spans="1:36">
      <c r="A104" s="90"/>
      <c r="B104" s="90"/>
      <c r="C104" s="90"/>
      <c r="D104" s="32" t="s">
        <v>20</v>
      </c>
      <c r="E104" s="31"/>
      <c r="F104" s="34"/>
      <c r="G104" s="33"/>
      <c r="H104" s="31"/>
      <c r="I104" s="31"/>
      <c r="J104" s="31"/>
      <c r="K104" s="31"/>
      <c r="L104" s="33"/>
      <c r="M104" s="31"/>
      <c r="N104" s="31"/>
      <c r="O104" s="34"/>
      <c r="P104" s="34"/>
      <c r="Q104" s="34"/>
      <c r="R104" s="34"/>
      <c r="S104" s="34"/>
      <c r="T104" s="34"/>
      <c r="U104" s="31"/>
      <c r="V104" s="34"/>
      <c r="W104" s="34"/>
      <c r="X104" s="34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82"/>
    </row>
    <row r="105" spans="1:36">
      <c r="A105" s="89">
        <v>51</v>
      </c>
      <c r="B105" s="89"/>
      <c r="C105" s="89" t="s">
        <v>24</v>
      </c>
      <c r="D105" s="32" t="s">
        <v>18</v>
      </c>
      <c r="E105" s="31"/>
      <c r="F105" s="34"/>
      <c r="G105" s="33"/>
      <c r="H105" s="31"/>
      <c r="I105" s="31"/>
      <c r="J105" s="31"/>
      <c r="K105" s="31"/>
      <c r="L105" s="33"/>
      <c r="M105" s="31"/>
      <c r="N105" s="31"/>
      <c r="O105" s="34"/>
      <c r="P105" s="34"/>
      <c r="Q105" s="34"/>
      <c r="R105" s="34"/>
      <c r="S105" s="34"/>
      <c r="T105" s="34"/>
      <c r="U105" s="31"/>
      <c r="V105" s="34"/>
      <c r="W105" s="34"/>
      <c r="X105" s="34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81">
        <f t="shared" si="5"/>
        <v>0</v>
      </c>
    </row>
    <row r="106" spans="1:36">
      <c r="A106" s="90"/>
      <c r="B106" s="90"/>
      <c r="C106" s="90"/>
      <c r="D106" s="32" t="s">
        <v>20</v>
      </c>
      <c r="E106" s="31"/>
      <c r="F106" s="34"/>
      <c r="G106" s="33"/>
      <c r="H106" s="31"/>
      <c r="I106" s="31"/>
      <c r="J106" s="31"/>
      <c r="K106" s="31"/>
      <c r="L106" s="33"/>
      <c r="M106" s="31"/>
      <c r="N106" s="31"/>
      <c r="O106" s="34"/>
      <c r="P106" s="34"/>
      <c r="Q106" s="34"/>
      <c r="R106" s="34"/>
      <c r="S106" s="34"/>
      <c r="T106" s="34"/>
      <c r="U106" s="31"/>
      <c r="V106" s="34"/>
      <c r="W106" s="34"/>
      <c r="X106" s="34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82"/>
    </row>
    <row r="107" spans="1:36">
      <c r="A107" s="89">
        <v>52</v>
      </c>
      <c r="B107" s="89"/>
      <c r="C107" s="89" t="s">
        <v>24</v>
      </c>
      <c r="D107" s="32" t="s">
        <v>18</v>
      </c>
      <c r="E107" s="31"/>
      <c r="F107" s="34"/>
      <c r="G107" s="33"/>
      <c r="H107" s="31"/>
      <c r="I107" s="31"/>
      <c r="J107" s="31"/>
      <c r="K107" s="31"/>
      <c r="L107" s="33"/>
      <c r="M107" s="31"/>
      <c r="N107" s="31"/>
      <c r="O107" s="34"/>
      <c r="P107" s="34"/>
      <c r="Q107" s="34"/>
      <c r="R107" s="34"/>
      <c r="S107" s="34"/>
      <c r="T107" s="34"/>
      <c r="U107" s="31"/>
      <c r="V107" s="34"/>
      <c r="W107" s="34"/>
      <c r="X107" s="34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81">
        <f t="shared" si="5"/>
        <v>0</v>
      </c>
    </row>
    <row r="108" spans="1:36">
      <c r="A108" s="90"/>
      <c r="B108" s="90"/>
      <c r="C108" s="90"/>
      <c r="D108" s="32" t="s">
        <v>20</v>
      </c>
      <c r="E108" s="31"/>
      <c r="F108" s="34"/>
      <c r="G108" s="33"/>
      <c r="H108" s="31"/>
      <c r="I108" s="31"/>
      <c r="J108" s="31"/>
      <c r="K108" s="31"/>
      <c r="L108" s="33"/>
      <c r="M108" s="31"/>
      <c r="N108" s="31"/>
      <c r="O108" s="34"/>
      <c r="P108" s="34"/>
      <c r="Q108" s="34"/>
      <c r="R108" s="34"/>
      <c r="S108" s="34"/>
      <c r="T108" s="34"/>
      <c r="U108" s="31"/>
      <c r="V108" s="34"/>
      <c r="W108" s="34"/>
      <c r="X108" s="34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82"/>
    </row>
    <row r="109" spans="1:36">
      <c r="A109" s="89">
        <v>53</v>
      </c>
      <c r="B109" s="89"/>
      <c r="C109" s="89" t="s">
        <v>24</v>
      </c>
      <c r="D109" s="32" t="s">
        <v>18</v>
      </c>
      <c r="E109" s="31"/>
      <c r="F109" s="34"/>
      <c r="G109" s="33"/>
      <c r="H109" s="31"/>
      <c r="I109" s="31"/>
      <c r="J109" s="31"/>
      <c r="K109" s="31"/>
      <c r="L109" s="33"/>
      <c r="M109" s="33"/>
      <c r="N109" s="31"/>
      <c r="O109" s="33"/>
      <c r="P109" s="34"/>
      <c r="Q109" s="34"/>
      <c r="R109" s="34"/>
      <c r="S109" s="34"/>
      <c r="T109" s="34"/>
      <c r="U109" s="31"/>
      <c r="V109" s="34"/>
      <c r="W109" s="34"/>
      <c r="X109" s="34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81">
        <f t="shared" si="5"/>
        <v>0</v>
      </c>
    </row>
    <row r="110" spans="1:36">
      <c r="A110" s="90"/>
      <c r="B110" s="90"/>
      <c r="C110" s="90"/>
      <c r="D110" s="32" t="s">
        <v>20</v>
      </c>
      <c r="E110" s="31"/>
      <c r="F110" s="34"/>
      <c r="G110" s="33"/>
      <c r="H110" s="31"/>
      <c r="I110" s="31"/>
      <c r="J110" s="31"/>
      <c r="K110" s="31"/>
      <c r="L110" s="33"/>
      <c r="M110" s="33"/>
      <c r="N110" s="31"/>
      <c r="O110" s="33"/>
      <c r="P110" s="34"/>
      <c r="Q110" s="34"/>
      <c r="R110" s="34"/>
      <c r="S110" s="34"/>
      <c r="T110" s="34"/>
      <c r="U110" s="31"/>
      <c r="V110" s="34"/>
      <c r="W110" s="34"/>
      <c r="X110" s="34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82"/>
    </row>
    <row r="111" spans="1:36">
      <c r="A111" s="89">
        <v>54</v>
      </c>
      <c r="B111" s="89"/>
      <c r="C111" s="89" t="s">
        <v>24</v>
      </c>
      <c r="D111" s="32" t="s">
        <v>18</v>
      </c>
      <c r="E111" s="31"/>
      <c r="F111" s="34"/>
      <c r="G111" s="33"/>
      <c r="H111" s="31"/>
      <c r="I111" s="31"/>
      <c r="J111" s="31"/>
      <c r="K111" s="31"/>
      <c r="L111" s="33"/>
      <c r="M111" s="33"/>
      <c r="N111" s="31"/>
      <c r="O111" s="33"/>
      <c r="P111" s="34"/>
      <c r="Q111" s="34"/>
      <c r="R111" s="34"/>
      <c r="S111" s="34"/>
      <c r="T111" s="34"/>
      <c r="U111" s="31"/>
      <c r="V111" s="34"/>
      <c r="W111" s="33"/>
      <c r="X111" s="33"/>
      <c r="Y111" s="31"/>
      <c r="Z111" s="31"/>
      <c r="AA111" s="31"/>
      <c r="AB111" s="31"/>
      <c r="AC111" s="31"/>
      <c r="AD111" s="33"/>
      <c r="AE111" s="31"/>
      <c r="AF111" s="31"/>
      <c r="AG111" s="31"/>
      <c r="AH111" s="33"/>
      <c r="AI111" s="31"/>
      <c r="AJ111" s="81">
        <f t="shared" si="5"/>
        <v>0</v>
      </c>
    </row>
    <row r="112" spans="1:36">
      <c r="A112" s="90"/>
      <c r="B112" s="90"/>
      <c r="C112" s="90"/>
      <c r="D112" s="32" t="s">
        <v>20</v>
      </c>
      <c r="E112" s="31"/>
      <c r="F112" s="34"/>
      <c r="G112" s="33"/>
      <c r="H112" s="31"/>
      <c r="I112" s="31"/>
      <c r="J112" s="31"/>
      <c r="K112" s="31"/>
      <c r="L112" s="33"/>
      <c r="M112" s="33"/>
      <c r="N112" s="31"/>
      <c r="O112" s="33"/>
      <c r="P112" s="34"/>
      <c r="Q112" s="34"/>
      <c r="R112" s="34"/>
      <c r="S112" s="34"/>
      <c r="T112" s="34"/>
      <c r="U112" s="31"/>
      <c r="V112" s="34"/>
      <c r="W112" s="33"/>
      <c r="X112" s="33"/>
      <c r="Y112" s="31"/>
      <c r="Z112" s="31"/>
      <c r="AA112" s="31"/>
      <c r="AB112" s="31"/>
      <c r="AC112" s="31"/>
      <c r="AD112" s="33"/>
      <c r="AE112" s="31"/>
      <c r="AF112" s="31"/>
      <c r="AG112" s="31"/>
      <c r="AH112" s="33"/>
      <c r="AI112" s="31"/>
      <c r="AJ112" s="82"/>
    </row>
    <row r="113" spans="1:36">
      <c r="A113" s="89">
        <v>55</v>
      </c>
      <c r="B113" s="89"/>
      <c r="C113" s="89" t="s">
        <v>24</v>
      </c>
      <c r="D113" s="32" t="s">
        <v>18</v>
      </c>
      <c r="E113" s="31"/>
      <c r="F113" s="34"/>
      <c r="G113" s="33"/>
      <c r="H113" s="31"/>
      <c r="I113" s="31"/>
      <c r="J113" s="31"/>
      <c r="K113" s="31"/>
      <c r="L113" s="33"/>
      <c r="M113" s="33"/>
      <c r="N113" s="31"/>
      <c r="O113" s="33"/>
      <c r="P113" s="34"/>
      <c r="Q113" s="34"/>
      <c r="R113" s="34"/>
      <c r="S113" s="34"/>
      <c r="T113" s="34"/>
      <c r="U113" s="31"/>
      <c r="V113" s="34"/>
      <c r="W113" s="34"/>
      <c r="X113" s="34"/>
      <c r="Y113" s="31"/>
      <c r="Z113" s="31"/>
      <c r="AA113" s="33"/>
      <c r="AB113" s="31"/>
      <c r="AC113" s="31"/>
      <c r="AD113" s="33"/>
      <c r="AE113" s="31"/>
      <c r="AF113" s="31"/>
      <c r="AG113" s="31"/>
      <c r="AH113" s="33"/>
      <c r="AI113" s="31"/>
      <c r="AJ113" s="81">
        <f t="shared" si="5"/>
        <v>0</v>
      </c>
    </row>
    <row r="114" spans="1:36">
      <c r="A114" s="90"/>
      <c r="B114" s="90"/>
      <c r="C114" s="90"/>
      <c r="D114" s="32" t="s">
        <v>20</v>
      </c>
      <c r="E114" s="31"/>
      <c r="F114" s="34"/>
      <c r="G114" s="33"/>
      <c r="H114" s="31"/>
      <c r="I114" s="31"/>
      <c r="J114" s="31"/>
      <c r="K114" s="31"/>
      <c r="L114" s="33"/>
      <c r="M114" s="33"/>
      <c r="N114" s="31"/>
      <c r="O114" s="33"/>
      <c r="P114" s="34"/>
      <c r="Q114" s="34"/>
      <c r="R114" s="34"/>
      <c r="S114" s="34"/>
      <c r="T114" s="34"/>
      <c r="U114" s="31"/>
      <c r="V114" s="34"/>
      <c r="W114" s="34"/>
      <c r="X114" s="34"/>
      <c r="Y114" s="31"/>
      <c r="Z114" s="31"/>
      <c r="AA114" s="33"/>
      <c r="AB114" s="31"/>
      <c r="AC114" s="31"/>
      <c r="AD114" s="33"/>
      <c r="AE114" s="31"/>
      <c r="AF114" s="31"/>
      <c r="AG114" s="31"/>
      <c r="AH114" s="33"/>
      <c r="AI114" s="31"/>
      <c r="AJ114" s="82"/>
    </row>
    <row r="115" spans="1:36">
      <c r="A115" s="89">
        <v>56</v>
      </c>
      <c r="B115" s="89"/>
      <c r="C115" s="89" t="s">
        <v>24</v>
      </c>
      <c r="D115" s="32" t="s">
        <v>18</v>
      </c>
      <c r="E115" s="31"/>
      <c r="F115" s="34"/>
      <c r="G115" s="33"/>
      <c r="H115" s="31"/>
      <c r="I115" s="31"/>
      <c r="J115" s="31"/>
      <c r="K115" s="31"/>
      <c r="L115" s="33"/>
      <c r="M115" s="33"/>
      <c r="N115" s="31"/>
      <c r="O115" s="33"/>
      <c r="P115" s="34"/>
      <c r="Q115" s="34"/>
      <c r="R115" s="34"/>
      <c r="S115" s="34"/>
      <c r="T115" s="34"/>
      <c r="U115" s="31"/>
      <c r="V115" s="34"/>
      <c r="W115" s="34"/>
      <c r="X115" s="34"/>
      <c r="Y115" s="31"/>
      <c r="Z115" s="31"/>
      <c r="AA115" s="34"/>
      <c r="AB115" s="31"/>
      <c r="AC115" s="31"/>
      <c r="AD115" s="34"/>
      <c r="AE115" s="31"/>
      <c r="AF115" s="33"/>
      <c r="AG115" s="33"/>
      <c r="AH115" s="33"/>
      <c r="AI115" s="31"/>
      <c r="AJ115" s="81">
        <f t="shared" si="5"/>
        <v>0</v>
      </c>
    </row>
    <row r="116" spans="1:36">
      <c r="A116" s="90"/>
      <c r="B116" s="90"/>
      <c r="C116" s="90"/>
      <c r="D116" s="32" t="s">
        <v>20</v>
      </c>
      <c r="E116" s="31"/>
      <c r="F116" s="34"/>
      <c r="G116" s="33"/>
      <c r="H116" s="31"/>
      <c r="I116" s="31"/>
      <c r="J116" s="31"/>
      <c r="K116" s="31"/>
      <c r="L116" s="33"/>
      <c r="M116" s="33"/>
      <c r="N116" s="31"/>
      <c r="O116" s="33"/>
      <c r="P116" s="34"/>
      <c r="Q116" s="34"/>
      <c r="R116" s="34"/>
      <c r="S116" s="34"/>
      <c r="T116" s="34"/>
      <c r="U116" s="31"/>
      <c r="V116" s="34"/>
      <c r="W116" s="34"/>
      <c r="X116" s="34"/>
      <c r="Y116" s="31"/>
      <c r="Z116" s="31"/>
      <c r="AA116" s="34"/>
      <c r="AB116" s="31"/>
      <c r="AC116" s="31"/>
      <c r="AD116" s="34"/>
      <c r="AE116" s="31"/>
      <c r="AF116" s="33"/>
      <c r="AG116" s="31"/>
      <c r="AH116" s="31"/>
      <c r="AI116" s="31"/>
      <c r="AJ116" s="82"/>
    </row>
    <row r="117" spans="1:36">
      <c r="A117" s="89">
        <v>57</v>
      </c>
      <c r="B117" s="89"/>
      <c r="C117" s="89" t="s">
        <v>24</v>
      </c>
      <c r="D117" s="32" t="s">
        <v>18</v>
      </c>
      <c r="E117" s="31"/>
      <c r="F117" s="34"/>
      <c r="G117" s="33"/>
      <c r="H117" s="31"/>
      <c r="I117" s="31"/>
      <c r="J117" s="31"/>
      <c r="K117" s="31"/>
      <c r="L117" s="33"/>
      <c r="M117" s="33"/>
      <c r="N117" s="31"/>
      <c r="O117" s="33"/>
      <c r="P117" s="34"/>
      <c r="Q117" s="34"/>
      <c r="R117" s="34"/>
      <c r="S117" s="34"/>
      <c r="T117" s="34"/>
      <c r="U117" s="31"/>
      <c r="V117" s="34"/>
      <c r="W117" s="34"/>
      <c r="X117" s="34"/>
      <c r="Y117" s="31"/>
      <c r="Z117" s="31"/>
      <c r="AA117" s="34"/>
      <c r="AB117" s="31"/>
      <c r="AC117" s="31"/>
      <c r="AD117" s="34"/>
      <c r="AE117" s="31"/>
      <c r="AF117" s="34"/>
      <c r="AG117" s="33"/>
      <c r="AH117" s="31"/>
      <c r="AI117" s="31"/>
      <c r="AJ117" s="81">
        <f t="shared" si="5"/>
        <v>0</v>
      </c>
    </row>
    <row r="118" spans="1:36">
      <c r="A118" s="90"/>
      <c r="B118" s="90"/>
      <c r="C118" s="90"/>
      <c r="D118" s="32" t="s">
        <v>20</v>
      </c>
      <c r="E118" s="31"/>
      <c r="F118" s="34"/>
      <c r="G118" s="33"/>
      <c r="H118" s="31"/>
      <c r="I118" s="31"/>
      <c r="J118" s="31"/>
      <c r="K118" s="31"/>
      <c r="L118" s="33"/>
      <c r="M118" s="33"/>
      <c r="N118" s="31"/>
      <c r="O118" s="33"/>
      <c r="P118" s="34"/>
      <c r="Q118" s="34"/>
      <c r="R118" s="34"/>
      <c r="S118" s="34"/>
      <c r="T118" s="34"/>
      <c r="U118" s="31"/>
      <c r="V118" s="34"/>
      <c r="W118" s="34"/>
      <c r="X118" s="34"/>
      <c r="Y118" s="31"/>
      <c r="Z118" s="31"/>
      <c r="AA118" s="34"/>
      <c r="AB118" s="31"/>
      <c r="AC118" s="31"/>
      <c r="AD118" s="34"/>
      <c r="AE118" s="31"/>
      <c r="AF118" s="34"/>
      <c r="AG118" s="33"/>
      <c r="AH118" s="31"/>
      <c r="AI118" s="31"/>
      <c r="AJ118" s="82"/>
    </row>
    <row r="119" spans="1:36">
      <c r="A119" s="89">
        <v>58</v>
      </c>
      <c r="B119" s="89"/>
      <c r="C119" s="89" t="s">
        <v>117</v>
      </c>
      <c r="D119" s="32" t="s">
        <v>18</v>
      </c>
      <c r="E119" s="31"/>
      <c r="F119" s="34"/>
      <c r="G119" s="33"/>
      <c r="H119" s="31"/>
      <c r="I119" s="31"/>
      <c r="J119" s="31"/>
      <c r="K119" s="31"/>
      <c r="L119" s="33"/>
      <c r="M119" s="33"/>
      <c r="N119" s="31"/>
      <c r="O119" s="33"/>
      <c r="P119" s="34"/>
      <c r="Q119" s="34"/>
      <c r="R119" s="34"/>
      <c r="S119" s="34"/>
      <c r="T119" s="34"/>
      <c r="U119" s="31"/>
      <c r="V119" s="33"/>
      <c r="W119" s="34"/>
      <c r="X119" s="34"/>
      <c r="Y119" s="31"/>
      <c r="Z119" s="31"/>
      <c r="AA119" s="34"/>
      <c r="AB119" s="31"/>
      <c r="AC119" s="31"/>
      <c r="AD119" s="34"/>
      <c r="AE119" s="31"/>
      <c r="AF119" s="34"/>
      <c r="AG119" s="31"/>
      <c r="AH119" s="31"/>
      <c r="AI119" s="31"/>
      <c r="AJ119" s="81">
        <f t="shared" si="5"/>
        <v>0</v>
      </c>
    </row>
    <row r="120" spans="1:36">
      <c r="A120" s="90"/>
      <c r="B120" s="90"/>
      <c r="C120" s="90"/>
      <c r="D120" s="32" t="s">
        <v>20</v>
      </c>
      <c r="E120" s="31"/>
      <c r="F120" s="34"/>
      <c r="G120" s="33"/>
      <c r="H120" s="31"/>
      <c r="I120" s="31"/>
      <c r="J120" s="31"/>
      <c r="K120" s="31"/>
      <c r="L120" s="33"/>
      <c r="M120" s="33"/>
      <c r="N120" s="31"/>
      <c r="O120" s="33"/>
      <c r="P120" s="34"/>
      <c r="Q120" s="34"/>
      <c r="R120" s="34"/>
      <c r="S120" s="34"/>
      <c r="T120" s="34"/>
      <c r="U120" s="31"/>
      <c r="V120" s="33"/>
      <c r="W120" s="34"/>
      <c r="X120" s="34"/>
      <c r="Y120" s="31"/>
      <c r="Z120" s="31"/>
      <c r="AA120" s="34"/>
      <c r="AB120" s="31"/>
      <c r="AC120" s="31"/>
      <c r="AD120" s="34"/>
      <c r="AE120" s="31"/>
      <c r="AF120" s="34"/>
      <c r="AG120" s="31"/>
      <c r="AH120" s="31"/>
      <c r="AI120" s="31"/>
      <c r="AJ120" s="82"/>
    </row>
    <row r="121" spans="1:36">
      <c r="A121" s="89">
        <v>59</v>
      </c>
      <c r="B121" s="89"/>
      <c r="C121" s="89" t="s">
        <v>24</v>
      </c>
      <c r="D121" s="32">
        <v>57</v>
      </c>
      <c r="E121" s="31"/>
      <c r="F121" s="33"/>
      <c r="G121" s="33"/>
      <c r="H121" s="31"/>
      <c r="I121" s="33"/>
      <c r="J121" s="33"/>
      <c r="K121" s="33"/>
      <c r="L121" s="33"/>
      <c r="M121" s="33"/>
      <c r="N121" s="31"/>
      <c r="O121" s="33"/>
      <c r="P121" s="33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81">
        <f t="shared" ref="AJ121" si="6">COUNTIFS(E121:AI122,"✓")/2</f>
        <v>0</v>
      </c>
    </row>
    <row r="122" spans="1:36">
      <c r="A122" s="90"/>
      <c r="B122" s="90"/>
      <c r="C122" s="90"/>
      <c r="D122" s="32" t="s">
        <v>20</v>
      </c>
      <c r="E122" s="31"/>
      <c r="F122" s="33"/>
      <c r="G122" s="33"/>
      <c r="H122" s="31"/>
      <c r="I122" s="33"/>
      <c r="J122" s="33"/>
      <c r="K122" s="33"/>
      <c r="L122" s="33"/>
      <c r="M122" s="33"/>
      <c r="N122" s="31"/>
      <c r="O122" s="33"/>
      <c r="P122" s="33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82"/>
    </row>
    <row r="123" spans="1:36">
      <c r="A123" s="83" t="s">
        <v>27</v>
      </c>
      <c r="B123" s="84"/>
      <c r="C123" s="84"/>
      <c r="D123" s="85"/>
      <c r="E123" s="77">
        <f>COUNTIFS(E5:E122,"✓")/2</f>
        <v>9</v>
      </c>
      <c r="F123" s="77">
        <f t="shared" ref="F123:AI123" si="7">COUNTIFS(F5:F122,"✓")/2</f>
        <v>14</v>
      </c>
      <c r="G123" s="77">
        <f t="shared" si="7"/>
        <v>13.5</v>
      </c>
      <c r="H123" s="77">
        <f t="shared" si="7"/>
        <v>19</v>
      </c>
      <c r="I123" s="77">
        <f t="shared" si="7"/>
        <v>19</v>
      </c>
      <c r="J123" s="77">
        <f t="shared" si="7"/>
        <v>12</v>
      </c>
      <c r="K123" s="77">
        <f t="shared" si="7"/>
        <v>17</v>
      </c>
      <c r="L123" s="77">
        <f t="shared" si="7"/>
        <v>15</v>
      </c>
      <c r="M123" s="77">
        <f>COUNTIFS(M5:M122,"✓")/2</f>
        <v>17</v>
      </c>
      <c r="N123" s="77">
        <f t="shared" si="7"/>
        <v>10</v>
      </c>
      <c r="O123" s="77">
        <f t="shared" si="7"/>
        <v>20</v>
      </c>
      <c r="P123" s="77">
        <f t="shared" si="7"/>
        <v>15</v>
      </c>
      <c r="Q123" s="77">
        <f t="shared" si="7"/>
        <v>16.5</v>
      </c>
      <c r="R123" s="77">
        <f t="shared" si="7"/>
        <v>15</v>
      </c>
      <c r="S123" s="77">
        <f t="shared" si="7"/>
        <v>11</v>
      </c>
      <c r="T123" s="77">
        <f t="shared" si="7"/>
        <v>20</v>
      </c>
      <c r="U123" s="77">
        <f t="shared" si="7"/>
        <v>0</v>
      </c>
      <c r="V123" s="77">
        <f t="shared" si="7"/>
        <v>0</v>
      </c>
      <c r="W123" s="77">
        <f t="shared" si="7"/>
        <v>0</v>
      </c>
      <c r="X123" s="77">
        <f t="shared" si="7"/>
        <v>0</v>
      </c>
      <c r="Y123" s="77">
        <f t="shared" si="7"/>
        <v>0</v>
      </c>
      <c r="Z123" s="77">
        <f t="shared" si="7"/>
        <v>0</v>
      </c>
      <c r="AA123" s="77">
        <f t="shared" si="7"/>
        <v>0</v>
      </c>
      <c r="AB123" s="77">
        <f t="shared" si="7"/>
        <v>0</v>
      </c>
      <c r="AC123" s="77">
        <f t="shared" si="7"/>
        <v>0</v>
      </c>
      <c r="AD123" s="77">
        <f t="shared" si="7"/>
        <v>0</v>
      </c>
      <c r="AE123" s="77">
        <f t="shared" si="7"/>
        <v>0</v>
      </c>
      <c r="AF123" s="77">
        <f t="shared" si="7"/>
        <v>0</v>
      </c>
      <c r="AG123" s="77">
        <f t="shared" si="7"/>
        <v>0</v>
      </c>
      <c r="AH123" s="77">
        <f t="shared" si="7"/>
        <v>0</v>
      </c>
      <c r="AI123" s="77">
        <f t="shared" si="7"/>
        <v>0</v>
      </c>
      <c r="AJ123" s="79">
        <f>SUM(E123:AI124)</f>
        <v>243</v>
      </c>
    </row>
    <row r="124" spans="1:36">
      <c r="A124" s="86"/>
      <c r="B124" s="87"/>
      <c r="C124" s="87"/>
      <c r="D124" s="8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80"/>
    </row>
    <row r="125" spans="1:36">
      <c r="O125" s="36"/>
    </row>
  </sheetData>
  <mergeCells count="277">
    <mergeCell ref="A1:U1"/>
    <mergeCell ref="A2:U2"/>
    <mergeCell ref="A3:A4"/>
    <mergeCell ref="B3:B4"/>
    <mergeCell ref="C3:C4"/>
    <mergeCell ref="D3:D4"/>
    <mergeCell ref="E3:AI3"/>
    <mergeCell ref="A9:A10"/>
    <mergeCell ref="B9:B10"/>
    <mergeCell ref="C9:C10"/>
    <mergeCell ref="AJ9:AJ10"/>
    <mergeCell ref="A11:A12"/>
    <mergeCell ref="B11:B12"/>
    <mergeCell ref="C11:C12"/>
    <mergeCell ref="AJ11:AJ12"/>
    <mergeCell ref="AJ3:AJ4"/>
    <mergeCell ref="A5:A6"/>
    <mergeCell ref="B5:B6"/>
    <mergeCell ref="C5:C6"/>
    <mergeCell ref="AJ5:AJ6"/>
    <mergeCell ref="A7:A8"/>
    <mergeCell ref="B7:B8"/>
    <mergeCell ref="C7:C8"/>
    <mergeCell ref="AJ7:AJ8"/>
    <mergeCell ref="A17:A18"/>
    <mergeCell ref="B17:B18"/>
    <mergeCell ref="C17:C18"/>
    <mergeCell ref="AJ17:AJ18"/>
    <mergeCell ref="A19:A20"/>
    <mergeCell ref="B19:B20"/>
    <mergeCell ref="C19:C20"/>
    <mergeCell ref="AJ19:AJ20"/>
    <mergeCell ref="A13:A14"/>
    <mergeCell ref="B13:B14"/>
    <mergeCell ref="C13:C14"/>
    <mergeCell ref="AJ13:AJ14"/>
    <mergeCell ref="A15:A16"/>
    <mergeCell ref="B15:B16"/>
    <mergeCell ref="C15:C16"/>
    <mergeCell ref="AJ15:AJ16"/>
    <mergeCell ref="A25:A26"/>
    <mergeCell ref="B25:B26"/>
    <mergeCell ref="C25:C26"/>
    <mergeCell ref="AJ25:AJ26"/>
    <mergeCell ref="A27:A28"/>
    <mergeCell ref="B27:B28"/>
    <mergeCell ref="C27:C28"/>
    <mergeCell ref="AJ27:AJ28"/>
    <mergeCell ref="A21:A22"/>
    <mergeCell ref="B21:B22"/>
    <mergeCell ref="C21:C22"/>
    <mergeCell ref="AJ21:AJ22"/>
    <mergeCell ref="A23:A24"/>
    <mergeCell ref="B23:B24"/>
    <mergeCell ref="C23:C24"/>
    <mergeCell ref="AJ23:AJ24"/>
    <mergeCell ref="A33:A34"/>
    <mergeCell ref="B33:B34"/>
    <mergeCell ref="C33:C34"/>
    <mergeCell ref="AJ33:AJ34"/>
    <mergeCell ref="A35:A36"/>
    <mergeCell ref="B35:B36"/>
    <mergeCell ref="C35:C36"/>
    <mergeCell ref="AJ35:AJ36"/>
    <mergeCell ref="A29:A30"/>
    <mergeCell ref="B29:B30"/>
    <mergeCell ref="C29:C30"/>
    <mergeCell ref="AJ29:AJ30"/>
    <mergeCell ref="A31:A32"/>
    <mergeCell ref="B31:B32"/>
    <mergeCell ref="C31:C32"/>
    <mergeCell ref="AJ31:AJ32"/>
    <mergeCell ref="A41:A42"/>
    <mergeCell ref="B41:B42"/>
    <mergeCell ref="C41:C42"/>
    <mergeCell ref="AJ41:AJ42"/>
    <mergeCell ref="A43:A44"/>
    <mergeCell ref="B43:B44"/>
    <mergeCell ref="C43:C44"/>
    <mergeCell ref="AJ43:AJ44"/>
    <mergeCell ref="A37:A38"/>
    <mergeCell ref="B37:B38"/>
    <mergeCell ref="C37:C38"/>
    <mergeCell ref="AJ37:AJ38"/>
    <mergeCell ref="A39:A40"/>
    <mergeCell ref="B39:B40"/>
    <mergeCell ref="C39:C40"/>
    <mergeCell ref="AJ39:AJ40"/>
    <mergeCell ref="A49:A50"/>
    <mergeCell ref="B49:B50"/>
    <mergeCell ref="C49:C50"/>
    <mergeCell ref="AJ49:AJ50"/>
    <mergeCell ref="A51:A52"/>
    <mergeCell ref="B51:B52"/>
    <mergeCell ref="C51:C52"/>
    <mergeCell ref="AJ51:AJ52"/>
    <mergeCell ref="A45:A46"/>
    <mergeCell ref="B45:B46"/>
    <mergeCell ref="C45:C46"/>
    <mergeCell ref="AJ45:AJ46"/>
    <mergeCell ref="A47:A48"/>
    <mergeCell ref="B47:B48"/>
    <mergeCell ref="C47:C48"/>
    <mergeCell ref="AJ47:AJ48"/>
    <mergeCell ref="A57:A58"/>
    <mergeCell ref="B57:B58"/>
    <mergeCell ref="C57:C58"/>
    <mergeCell ref="AJ57:AJ58"/>
    <mergeCell ref="A59:A60"/>
    <mergeCell ref="B59:B60"/>
    <mergeCell ref="C59:C60"/>
    <mergeCell ref="AJ59:AJ60"/>
    <mergeCell ref="A53:A54"/>
    <mergeCell ref="B53:B54"/>
    <mergeCell ref="C53:C54"/>
    <mergeCell ref="AJ53:AJ54"/>
    <mergeCell ref="A55:A56"/>
    <mergeCell ref="B55:B56"/>
    <mergeCell ref="C55:C56"/>
    <mergeCell ref="AJ55:AJ56"/>
    <mergeCell ref="A65:A66"/>
    <mergeCell ref="B65:B66"/>
    <mergeCell ref="C65:C66"/>
    <mergeCell ref="AJ65:AJ66"/>
    <mergeCell ref="A67:A68"/>
    <mergeCell ref="B67:B68"/>
    <mergeCell ref="C67:C68"/>
    <mergeCell ref="AJ67:AJ68"/>
    <mergeCell ref="A61:A62"/>
    <mergeCell ref="B61:B62"/>
    <mergeCell ref="C61:C62"/>
    <mergeCell ref="AJ61:AJ62"/>
    <mergeCell ref="A63:A64"/>
    <mergeCell ref="B63:B64"/>
    <mergeCell ref="C63:C64"/>
    <mergeCell ref="AJ63:AJ64"/>
    <mergeCell ref="A73:A74"/>
    <mergeCell ref="B73:B74"/>
    <mergeCell ref="C73:C74"/>
    <mergeCell ref="AJ73:AJ74"/>
    <mergeCell ref="A75:A76"/>
    <mergeCell ref="B75:B76"/>
    <mergeCell ref="C75:C76"/>
    <mergeCell ref="AJ75:AJ76"/>
    <mergeCell ref="A69:A70"/>
    <mergeCell ref="B69:B70"/>
    <mergeCell ref="C69:C70"/>
    <mergeCell ref="AJ69:AJ70"/>
    <mergeCell ref="A71:A72"/>
    <mergeCell ref="B71:B72"/>
    <mergeCell ref="C71:C72"/>
    <mergeCell ref="AJ71:AJ72"/>
    <mergeCell ref="A81:A82"/>
    <mergeCell ref="B81:B82"/>
    <mergeCell ref="C81:C82"/>
    <mergeCell ref="AJ81:AJ82"/>
    <mergeCell ref="A83:A84"/>
    <mergeCell ref="B83:B84"/>
    <mergeCell ref="C83:C84"/>
    <mergeCell ref="AJ83:AJ84"/>
    <mergeCell ref="A77:A78"/>
    <mergeCell ref="B77:B78"/>
    <mergeCell ref="C77:C78"/>
    <mergeCell ref="AJ77:AJ78"/>
    <mergeCell ref="A79:A80"/>
    <mergeCell ref="B79:B80"/>
    <mergeCell ref="C79:C80"/>
    <mergeCell ref="AJ79:AJ80"/>
    <mergeCell ref="A89:A90"/>
    <mergeCell ref="B89:B90"/>
    <mergeCell ref="C89:C90"/>
    <mergeCell ref="AJ89:AJ90"/>
    <mergeCell ref="A91:A92"/>
    <mergeCell ref="B91:B92"/>
    <mergeCell ref="C91:C92"/>
    <mergeCell ref="AJ91:AJ92"/>
    <mergeCell ref="A85:A86"/>
    <mergeCell ref="B85:B86"/>
    <mergeCell ref="C85:C86"/>
    <mergeCell ref="AJ85:AJ86"/>
    <mergeCell ref="A87:A88"/>
    <mergeCell ref="B87:B88"/>
    <mergeCell ref="C87:C88"/>
    <mergeCell ref="AJ87:AJ88"/>
    <mergeCell ref="A97:A98"/>
    <mergeCell ref="B97:B98"/>
    <mergeCell ref="C97:C98"/>
    <mergeCell ref="AJ97:AJ98"/>
    <mergeCell ref="A99:A100"/>
    <mergeCell ref="B99:B100"/>
    <mergeCell ref="C99:C100"/>
    <mergeCell ref="AJ99:AJ100"/>
    <mergeCell ref="A93:A94"/>
    <mergeCell ref="B93:B94"/>
    <mergeCell ref="C93:C94"/>
    <mergeCell ref="AJ93:AJ94"/>
    <mergeCell ref="A95:A96"/>
    <mergeCell ref="B95:B96"/>
    <mergeCell ref="C95:C96"/>
    <mergeCell ref="AJ95:AJ96"/>
    <mergeCell ref="A105:A106"/>
    <mergeCell ref="B105:B106"/>
    <mergeCell ref="C105:C106"/>
    <mergeCell ref="AJ105:AJ106"/>
    <mergeCell ref="A107:A108"/>
    <mergeCell ref="B107:B108"/>
    <mergeCell ref="C107:C108"/>
    <mergeCell ref="AJ107:AJ108"/>
    <mergeCell ref="A101:A102"/>
    <mergeCell ref="B101:B102"/>
    <mergeCell ref="C101:C102"/>
    <mergeCell ref="AJ101:AJ102"/>
    <mergeCell ref="A103:A104"/>
    <mergeCell ref="B103:B104"/>
    <mergeCell ref="C103:C104"/>
    <mergeCell ref="AJ103:AJ104"/>
    <mergeCell ref="A113:A114"/>
    <mergeCell ref="B113:B114"/>
    <mergeCell ref="C113:C114"/>
    <mergeCell ref="AJ113:AJ114"/>
    <mergeCell ref="A115:A116"/>
    <mergeCell ref="B115:B116"/>
    <mergeCell ref="C115:C116"/>
    <mergeCell ref="AJ115:AJ116"/>
    <mergeCell ref="A109:A110"/>
    <mergeCell ref="B109:B110"/>
    <mergeCell ref="C109:C110"/>
    <mergeCell ref="AJ109:AJ110"/>
    <mergeCell ref="A111:A112"/>
    <mergeCell ref="B111:B112"/>
    <mergeCell ref="C111:C112"/>
    <mergeCell ref="AJ111:AJ112"/>
    <mergeCell ref="AJ121:AJ122"/>
    <mergeCell ref="A123:D124"/>
    <mergeCell ref="E123:E124"/>
    <mergeCell ref="F123:F124"/>
    <mergeCell ref="G123:G124"/>
    <mergeCell ref="H123:H124"/>
    <mergeCell ref="I123:I124"/>
    <mergeCell ref="A117:A118"/>
    <mergeCell ref="B117:B118"/>
    <mergeCell ref="C117:C118"/>
    <mergeCell ref="AJ117:AJ118"/>
    <mergeCell ref="A119:A120"/>
    <mergeCell ref="B119:B120"/>
    <mergeCell ref="C119:C120"/>
    <mergeCell ref="AJ119:AJ120"/>
    <mergeCell ref="J123:J124"/>
    <mergeCell ref="K123:K124"/>
    <mergeCell ref="L123:L124"/>
    <mergeCell ref="M123:M124"/>
    <mergeCell ref="N123:N124"/>
    <mergeCell ref="O123:O124"/>
    <mergeCell ref="A121:A122"/>
    <mergeCell ref="B121:B122"/>
    <mergeCell ref="C121:C122"/>
    <mergeCell ref="V123:V124"/>
    <mergeCell ref="W123:W124"/>
    <mergeCell ref="X123:X124"/>
    <mergeCell ref="Y123:Y124"/>
    <mergeCell ref="Z123:Z124"/>
    <mergeCell ref="AA123:AA124"/>
    <mergeCell ref="P123:P124"/>
    <mergeCell ref="Q123:Q124"/>
    <mergeCell ref="R123:R124"/>
    <mergeCell ref="S123:S124"/>
    <mergeCell ref="T123:T124"/>
    <mergeCell ref="U123:U124"/>
    <mergeCell ref="AH123:AH124"/>
    <mergeCell ref="AI123:AI124"/>
    <mergeCell ref="AJ123:AJ124"/>
    <mergeCell ref="AB123:AB124"/>
    <mergeCell ref="AC123:AC124"/>
    <mergeCell ref="AD123:AD124"/>
    <mergeCell ref="AE123:AE124"/>
    <mergeCell ref="AF123:AF124"/>
    <mergeCell ref="AG123:AG124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 He RKEF</vt:lpstr>
      <vt:lpstr>HPAL</vt:lpstr>
      <vt:lpstr>Mr Song</vt:lpstr>
      <vt:lpstr>Mr Yang</vt:lpstr>
      <vt:lpstr>Mr He HPAL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ptalongmega persada</dc:creator>
  <cp:lastModifiedBy>yasser arsyad</cp:lastModifiedBy>
  <dcterms:created xsi:type="dcterms:W3CDTF">2026-07-09T03:13:47Z</dcterms:created>
  <dcterms:modified xsi:type="dcterms:W3CDTF">2026-07-21T12:37:08Z</dcterms:modified>
</cp:coreProperties>
</file>